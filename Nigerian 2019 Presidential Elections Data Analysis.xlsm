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hidePivotFieldList="1" defaultThemeVersion="166925"/>
  <mc:AlternateContent xmlns:mc="http://schemas.openxmlformats.org/markup-compatibility/2006">
    <mc:Choice Requires="x15">
      <x15ac:absPath xmlns:x15ac="http://schemas.microsoft.com/office/spreadsheetml/2010/11/ac" url="C:\Users\830 G7 New Version\Documents\Data Analysis\DA Career Portfolio\New Portfolio\Excel\Election Data\"/>
    </mc:Choice>
  </mc:AlternateContent>
  <xr:revisionPtr revIDLastSave="0" documentId="13_ncr:1_{317D0F42-AABE-444D-B2CE-DF7559C49FF5}" xr6:coauthVersionLast="47" xr6:coauthVersionMax="47" xr10:uidLastSave="{00000000-0000-0000-0000-000000000000}"/>
  <bookViews>
    <workbookView xWindow="-108" yWindow="-108" windowWidth="23256" windowHeight="13176" activeTab="2" xr2:uid="{80BECBB8-9C4B-4E57-BA31-529C1932AAF2}"/>
  </bookViews>
  <sheets>
    <sheet name="DATA" sheetId="2" r:id="rId1"/>
    <sheet name="ANALYSIS" sheetId="1" r:id="rId2"/>
    <sheet name="NATIONAL OVERVIEW" sheetId="3" r:id="rId3"/>
    <sheet name="COLOR PALETTE" sheetId="4" r:id="rId4"/>
  </sheets>
  <definedNames>
    <definedName name="_xlchart.v5.0" hidden="1">ANALYSIS!$N$7</definedName>
    <definedName name="_xlchart.v5.1" hidden="1">ANALYSIS!$N$8:$N$44</definedName>
    <definedName name="_xlchart.v5.2" hidden="1">ANALYSIS!$O$7</definedName>
    <definedName name="_xlchart.v5.3" hidden="1">ANALYSIS!$O$8:$O$44</definedName>
    <definedName name="ExternalData_1" localSheetId="0" hidden="1">DATA!$A$1:$N$38</definedName>
    <definedName name="Slicer_APC_PDP">#N/A</definedName>
    <definedName name="Slicer_Geopolitical_zone">#N/A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 i="2" l="1"/>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E19" i="1"/>
  <c r="E20"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O7" i="1"/>
  <c r="N7" i="1"/>
  <c r="C20" i="1"/>
  <c r="D20" i="1"/>
  <c r="D19" i="1"/>
  <c r="C19"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A075AF-2F92-4BA2-853A-2F7E96E99AC0}" keepAlive="1" name="Query - DATA" description="Connection to the 'DATA' query in the workbook." type="5" refreshedVersion="8" background="1" saveData="1">
    <dbPr connection="Provider=Microsoft.Mashup.OleDb.1;Data Source=$Workbook$;Location=DATA;Extended Properties=&quot;&quot;" command="SELECT * FROM [DATA]"/>
  </connection>
</connections>
</file>

<file path=xl/sharedStrings.xml><?xml version="1.0" encoding="utf-8"?>
<sst xmlns="http://schemas.openxmlformats.org/spreadsheetml/2006/main" count="177" uniqueCount="95">
  <si>
    <t>State</t>
  </si>
  <si>
    <t>Geopolitical zone</t>
  </si>
  <si>
    <t>Nr of Reg Voters</t>
  </si>
  <si>
    <t>Accredited Voters</t>
  </si>
  <si>
    <t>Votes cast</t>
  </si>
  <si>
    <t>Valid votes</t>
  </si>
  <si>
    <t>Rejected votes</t>
  </si>
  <si>
    <t>PDP Votes</t>
  </si>
  <si>
    <t>APC Votes</t>
  </si>
  <si>
    <t>Abia</t>
  </si>
  <si>
    <t>South East</t>
  </si>
  <si>
    <t>Adamawa</t>
  </si>
  <si>
    <t>North East</t>
  </si>
  <si>
    <t>Akwa Ibom</t>
  </si>
  <si>
    <t>South South</t>
  </si>
  <si>
    <t>Anambra</t>
  </si>
  <si>
    <t>Bauchi</t>
  </si>
  <si>
    <t>Bayelsa</t>
  </si>
  <si>
    <t>Benue</t>
  </si>
  <si>
    <t>North Central</t>
  </si>
  <si>
    <t>Borno</t>
  </si>
  <si>
    <t>Cross river</t>
  </si>
  <si>
    <t>Delta</t>
  </si>
  <si>
    <t>Ebonyi</t>
  </si>
  <si>
    <t>Edo</t>
  </si>
  <si>
    <t>Ekiti</t>
  </si>
  <si>
    <t>South West</t>
  </si>
  <si>
    <t>Enugu</t>
  </si>
  <si>
    <t>Gombe</t>
  </si>
  <si>
    <t>Imo</t>
  </si>
  <si>
    <t>Jigawa</t>
  </si>
  <si>
    <t>North West</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</si>
  <si>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</si>
  <si>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</si>
  <si>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</si>
  <si>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</si>
  <si>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</si>
  <si>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</si>
  <si>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</si>
  <si>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</si>
  <si>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</si>
  <si>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</si>
  <si>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</si>
  <si>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</si>
  <si>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</si>
  <si>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</si>
  <si>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</si>
  <si>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</si>
  <si>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</si>
  <si>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</si>
  <si>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</si>
  <si>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FCT</t>
  </si>
  <si>
    <t>APC Votes %</t>
  </si>
  <si>
    <t xml:space="preserve">Key Performance Indices </t>
  </si>
  <si>
    <t>PDP Votes  %</t>
  </si>
  <si>
    <t>Voter Turnout %</t>
  </si>
  <si>
    <t xml:space="preserve"> Nr of Reg Voters</t>
  </si>
  <si>
    <t xml:space="preserve"> Accredited Voters</t>
  </si>
  <si>
    <t xml:space="preserve"> Valid votes</t>
  </si>
  <si>
    <t xml:space="preserve"> Rejected votes</t>
  </si>
  <si>
    <t xml:space="preserve"> Voter Turnout %</t>
  </si>
  <si>
    <t>Party Vote Share</t>
  </si>
  <si>
    <t xml:space="preserve"> PDP Votes</t>
  </si>
  <si>
    <t xml:space="preserve"> APC Votes</t>
  </si>
  <si>
    <t>Regional Vote Summary</t>
  </si>
  <si>
    <t>Grand Total</t>
  </si>
  <si>
    <t>Turn out by State</t>
  </si>
  <si>
    <t>Simulated Opacity</t>
  </si>
  <si>
    <t>Hex Code</t>
  </si>
  <si>
    <t>Approx. Tint</t>
  </si>
  <si>
    <r>
      <t>90% opaque</t>
    </r>
    <r>
      <rPr>
        <sz val="9"/>
        <color theme="1"/>
        <rFont val="Poppins"/>
        <family val="2"/>
      </rPr>
      <t xml:space="preserve"> (10% transparent)</t>
    </r>
  </si>
  <si>
    <t>Very Dark Teal</t>
  </si>
  <si>
    <t>#00675C</t>
  </si>
  <si>
    <r>
      <t>75% opaque</t>
    </r>
    <r>
      <rPr>
        <sz val="9"/>
        <color theme="1"/>
        <rFont val="Poppins"/>
        <family val="2"/>
      </rPr>
      <t xml:space="preserve"> (25% transparent)</t>
    </r>
  </si>
  <si>
    <t>Dark Teal</t>
  </si>
  <si>
    <t>#339087</t>
  </si>
  <si>
    <r>
      <t>60% opaque</t>
    </r>
    <r>
      <rPr>
        <sz val="9"/>
        <color theme="1"/>
        <rFont val="Poppins"/>
        <family val="2"/>
      </rPr>
      <t xml:space="preserve"> (40% transparent)</t>
    </r>
  </si>
  <si>
    <t>Medium Teal</t>
  </si>
  <si>
    <t>#66A9A2</t>
  </si>
  <si>
    <r>
      <t>40% opaque</t>
    </r>
    <r>
      <rPr>
        <sz val="9"/>
        <color theme="1"/>
        <rFont val="Poppins"/>
        <family val="2"/>
      </rPr>
      <t xml:space="preserve"> (60% transparent)</t>
    </r>
  </si>
  <si>
    <t>Light Teal</t>
  </si>
  <si>
    <t>#99C2BD</t>
  </si>
  <si>
    <r>
      <t>20% opaque</t>
    </r>
    <r>
      <rPr>
        <sz val="9"/>
        <color theme="1"/>
        <rFont val="Poppins"/>
        <family val="2"/>
      </rPr>
      <t xml:space="preserve"> (80% transparent)</t>
    </r>
  </si>
  <si>
    <t>Very Light Teal</t>
  </si>
  <si>
    <t>#CCE4DF</t>
  </si>
  <si>
    <t>Other Parties Votes</t>
  </si>
  <si>
    <t>Other Parties Vote %</t>
  </si>
  <si>
    <t xml:space="preserve"> Other Parties Votes</t>
  </si>
  <si>
    <t xml:space="preserve"> PDP Votes  %</t>
  </si>
  <si>
    <t xml:space="preserve"> APC Votes %</t>
  </si>
  <si>
    <t xml:space="preserve"> Other Parties Vote %</t>
  </si>
  <si>
    <t>Sum of Valid votes</t>
  </si>
  <si>
    <t>APC/PDP</t>
  </si>
  <si>
    <t>Abuja</t>
  </si>
  <si>
    <t>NATIONAL OVERVIEW CALCULATIONS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</si>
</sst>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 #,##0_);_(* \(#,##0\);_(* &quot;-&quot;??_);_(@_)"/>
    <numFmt numFmtId="165" formatCode="[&gt;=1000000]0.00,,&quot;M&quot;;[&gt;=1000]0.0,&quot;K&quot;;0"/>
    <numFmt numFmtId="166" formatCode="0.0%"/>
  </numFmts>
  <fonts count="6">
    <font>
      <sz val="9"/>
      <color theme="1"/>
      <name val="Poppins"/>
      <family val="2"/>
    </font>
    <font>
      <b/>
      <sz val="9"/>
      <color theme="1"/>
      <name val="Poppins"/>
      <family val="2"/>
    </font>
    <font>
      <sz val="8"/>
      <name val="Poppins"/>
      <family val="2"/>
    </font>
    <font>
      <b/>
      <sz val="9"/>
      <color rgb="FFC00000"/>
      <name val="Poppins"/>
    </font>
    <font>
      <sz val="10"/>
      <color theme="1"/>
      <name val="Arial Unicode MS"/>
    </font>
    <font>
      <b/>
      <sz val="12"/>
      <color rgb="FF00796B"/>
      <name val="Poppins"/>
    </font>
  </fonts>
  <fills count="5">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1"/>
        <bgColor indexed="64"/>
      </patternFill>
    </fill>
  </fills>
  <borders count="1">
    <border>
      <left/>
      <right/>
      <top/>
      <bottom/>
      <diagonal/>
    </border>
  </borders>
  <cellStyleXfs count="1">
    <xf numFmtId="0" fontId="0" fillId="0" borderId="0"/>
  </cellStyleXfs>
  <cellXfs count="18">
    <xf numFmtId="0" fontId="0" fillId="0" borderId="0" xfId="0"/>
    <xf numFmtId="164" fontId="0" fillId="0" borderId="0" xfId="0" applyNumberFormat="1"/>
    <xf numFmtId="9" fontId="0" fillId="0" borderId="0" xfId="0" applyNumberFormat="1"/>
    <xf numFmtId="0" fontId="0" fillId="0" borderId="0" xfId="0" pivotButton="1"/>
    <xf numFmtId="0" fontId="1" fillId="0" borderId="0" xfId="0" applyFont="1" applyAlignment="1">
      <alignment horizontal="center" vertical="center" wrapText="1"/>
    </xf>
    <xf numFmtId="0" fontId="0" fillId="0" borderId="0" xfId="0" applyAlignment="1">
      <alignment vertical="center" wrapText="1"/>
    </xf>
    <xf numFmtId="0" fontId="4" fillId="0" borderId="0" xfId="0" applyFont="1" applyAlignment="1">
      <alignment vertical="center" wrapText="1"/>
    </xf>
    <xf numFmtId="0" fontId="1" fillId="0" borderId="0" xfId="0" applyFont="1" applyAlignment="1">
      <alignment vertical="center" wrapText="1"/>
    </xf>
    <xf numFmtId="0" fontId="0" fillId="3" borderId="0" xfId="0" applyFill="1"/>
    <xf numFmtId="165" fontId="0" fillId="0" borderId="0" xfId="0" applyNumberFormat="1"/>
    <xf numFmtId="0" fontId="3" fillId="0" borderId="0" xfId="0" applyFont="1" applyAlignment="1">
      <alignment horizontal="center"/>
    </xf>
    <xf numFmtId="166" fontId="0" fillId="0" borderId="0" xfId="0" applyNumberFormat="1"/>
    <xf numFmtId="0" fontId="3" fillId="0" borderId="0" xfId="0" applyFont="1"/>
    <xf numFmtId="0" fontId="3" fillId="2" borderId="0" xfId="0" applyFont="1" applyFill="1" applyAlignment="1">
      <alignment horizontal="center"/>
    </xf>
    <xf numFmtId="0" fontId="3" fillId="4" borderId="0" xfId="0" applyFont="1" applyFill="1"/>
    <xf numFmtId="0" fontId="0" fillId="4" borderId="0" xfId="0" applyFill="1"/>
    <xf numFmtId="0" fontId="0" fillId="0" borderId="0" xfId="0" applyAlignment="1">
      <alignment horizontal="center" vertical="center"/>
    </xf>
    <xf numFmtId="0" fontId="5" fillId="0" borderId="0" xfId="0" applyFont="1" applyAlignment="1">
      <alignment horizontal="center" vertical="center"/>
    </xf>
  </cellXfs>
  <cellStyles count="1">
    <cellStyle name="Normal" xfId="0" builtinId="0"/>
  </cellStyles>
  <dxfs count="12">
    <dxf>
      <numFmt numFmtId="165" formatCode="[&gt;=1000000]0.00,,&quot;M&quot;;[&gt;=1000]0.0,&quot;K&quot;;0"/>
    </dxf>
    <dxf>
      <numFmt numFmtId="165" formatCode="[&gt;=1000000]0.00,,&quot;M&quot;;[&gt;=1000]0.0,&quot;K&quot;;0"/>
    </dxf>
    <dxf>
      <numFmt numFmtId="164" formatCode="_(* #,##0_);_(* \(#,##0\);_(* &quot;-&quot;??_);_(@_)"/>
    </dxf>
    <dxf>
      <numFmt numFmtId="13" formatCode="0%"/>
    </dxf>
    <dxf>
      <numFmt numFmtId="13" formatCode="0%"/>
    </dxf>
    <dxf>
      <numFmt numFmtId="165" formatCode="[&gt;=1000000]0.00,,&quot;M&quot;;[&gt;=1000]0.0,&quot;K&quot;;0"/>
    </dxf>
    <dxf>
      <numFmt numFmtId="13" formatCode="0%"/>
    </dxf>
    <dxf>
      <numFmt numFmtId="0" formatCode="General"/>
    </dxf>
    <dxf>
      <numFmt numFmtId="0" formatCode="General"/>
    </dxf>
    <dxf>
      <numFmt numFmtId="0" formatCode="General"/>
    </dxf>
    <dxf>
      <font>
        <b/>
        <color theme="1"/>
      </font>
      <border>
        <bottom style="thin">
          <color theme="4"/>
        </bottom>
        <vertical/>
        <horizontal/>
      </border>
    </dxf>
    <dxf>
      <font>
        <color rgb="FFDDEEEA"/>
      </font>
      <fill>
        <patternFill>
          <bgColor rgb="FFCCE4DF"/>
        </patternFill>
      </fill>
      <border diagonalUp="0" diagonalDown="0">
        <left/>
        <right/>
        <top/>
        <bottom/>
        <vertical/>
        <horizontal/>
      </border>
    </dxf>
  </dxfs>
  <tableStyles count="1" defaultTableStyle="TableStyleMedium2" defaultPivotStyle="PivotStyleLight16">
    <tableStyle name="myslicer" pivot="0" table="0" count="10" xr9:uid="{178F7BAD-EBDB-4D9B-9518-EE57F0613AD4}">
      <tableStyleElement type="wholeTable" dxfId="11"/>
      <tableStyleElement type="headerRow" dxfId="10"/>
    </tableStyle>
  </tableStyles>
  <colors>
    <mruColors>
      <color rgb="FFE8F5F3"/>
      <color rgb="FF00796B"/>
      <color rgb="FF99C2BD"/>
      <color rgb="FFCCE4DF"/>
      <color rgb="FFDDEEEA"/>
      <color rgb="FF006358"/>
      <color rgb="FF2F4F4F"/>
      <color rgb="FF00675C"/>
      <color rgb="FF66A9A2"/>
      <color rgb="FF339987"/>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006358"/>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DDEEEA"/>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DDEEEA"/>
          </font>
          <fill>
            <patternFill patternType="solid">
              <fgColor theme="4" tint="0.59999389629810485"/>
              <bgColor rgb="FF00796B"/>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E8F5F3"/>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955303206146851"/>
          <c:y val="5.9543863835202417E-2"/>
          <c:w val="0.47787050428220285"/>
          <c:h val="0.79826095601686153"/>
        </c:manualLayout>
      </c:layout>
      <c:doughnutChart>
        <c:varyColors val="1"/>
        <c:ser>
          <c:idx val="0"/>
          <c:order val="0"/>
          <c:spPr>
            <a:ln>
              <a:noFill/>
            </a:ln>
          </c:spPr>
          <c:dPt>
            <c:idx val="0"/>
            <c:bubble3D val="0"/>
            <c:spPr>
              <a:solidFill>
                <a:srgbClr val="99C2BD"/>
              </a:solidFill>
              <a:ln w="19050">
                <a:noFill/>
              </a:ln>
              <a:effectLst/>
            </c:spPr>
            <c:extLst>
              <c:ext xmlns:c16="http://schemas.microsoft.com/office/drawing/2014/chart" uri="{C3380CC4-5D6E-409C-BE32-E72D297353CC}">
                <c16:uniqueId val="{00000001-CE9B-4050-867B-7C94966C7799}"/>
              </c:ext>
            </c:extLst>
          </c:dPt>
          <c:dPt>
            <c:idx val="1"/>
            <c:bubble3D val="0"/>
            <c:spPr>
              <a:solidFill>
                <a:srgbClr val="339087"/>
              </a:solidFill>
              <a:ln w="19050">
                <a:noFill/>
              </a:ln>
              <a:effectLst/>
            </c:spPr>
            <c:extLst>
              <c:ext xmlns:c16="http://schemas.microsoft.com/office/drawing/2014/chart" uri="{C3380CC4-5D6E-409C-BE32-E72D297353CC}">
                <c16:uniqueId val="{00000003-CE9B-4050-867B-7C94966C7799}"/>
              </c:ext>
            </c:extLst>
          </c:dPt>
          <c:dPt>
            <c:idx val="2"/>
            <c:bubble3D val="0"/>
            <c:spPr>
              <a:solidFill>
                <a:schemeClr val="accent6">
                  <a:lumMod val="50000"/>
                </a:schemeClr>
              </a:solidFill>
              <a:ln w="19050">
                <a:noFill/>
              </a:ln>
              <a:effectLst/>
            </c:spPr>
            <c:extLst>
              <c:ext xmlns:c16="http://schemas.microsoft.com/office/drawing/2014/chart" uri="{C3380CC4-5D6E-409C-BE32-E72D297353CC}">
                <c16:uniqueId val="{00000005-CE9B-4050-867B-7C94966C7799}"/>
              </c:ext>
            </c:extLst>
          </c:dPt>
          <c:dLbls>
            <c:dLbl>
              <c:idx val="0"/>
              <c:layout>
                <c:manualLayout>
                  <c:x val="0.152357949206019"/>
                  <c:y val="-6.440072463492527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E9B-4050-867B-7C94966C7799}"/>
                </c:ext>
              </c:extLst>
            </c:dLbl>
            <c:dLbl>
              <c:idx val="1"/>
              <c:layout>
                <c:manualLayout>
                  <c:x val="-0.18405783238030465"/>
                  <c:y val="-8.01316643682692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E9B-4050-867B-7C94966C7799}"/>
                </c:ext>
              </c:extLst>
            </c:dLbl>
            <c:dLbl>
              <c:idx val="2"/>
              <c:layout>
                <c:manualLayout>
                  <c:x val="0.19047619047619047"/>
                  <c:y val="-5.55555555555555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E9B-4050-867B-7C94966C7799}"/>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rgbClr val="00675C"/>
                    </a:solidFill>
                    <a:latin typeface="Poppins" panose="00000500000000000000" pitchFamily="2" charset="0"/>
                    <a:ea typeface="+mn-ea"/>
                    <a:cs typeface="Poppins" panose="00000500000000000000" pitchFamily="2" charset="0"/>
                  </a:defRPr>
                </a:pPr>
                <a:endParaRPr lang="en-US"/>
              </a:p>
            </c:txPr>
            <c:showLegendKey val="0"/>
            <c:showVal val="1"/>
            <c:showCatName val="0"/>
            <c:showSerName val="0"/>
            <c:showPercent val="0"/>
            <c:showBubbleSize val="0"/>
            <c:showLeaderLines val="1"/>
            <c:leaderLines>
              <c:spPr>
                <a:ln w="22225" cap="flat" cmpd="sng" algn="ctr">
                  <a:solidFill>
                    <a:srgbClr val="339087"/>
                  </a:solidFill>
                  <a:prstDash val="sysDot"/>
                  <a:round/>
                </a:ln>
                <a:effectLst/>
              </c:spPr>
            </c:leaderLines>
            <c:extLst>
              <c:ext xmlns:c15="http://schemas.microsoft.com/office/drawing/2012/chart" uri="{CE6537A1-D6FC-4f65-9D91-7224C49458BB}"/>
            </c:extLst>
          </c:dLbls>
          <c:cat>
            <c:strRef>
              <c:f>ANALYSIS!$C$19:$E$19</c:f>
              <c:strCache>
                <c:ptCount val="3"/>
                <c:pt idx="0">
                  <c:v> PDP Votes</c:v>
                </c:pt>
                <c:pt idx="1">
                  <c:v> APC Votes</c:v>
                </c:pt>
                <c:pt idx="2">
                  <c:v> Other Parties Votes</c:v>
                </c:pt>
              </c:strCache>
            </c:strRef>
          </c:cat>
          <c:val>
            <c:numRef>
              <c:f>ANALYSIS!$C$20:$E$20</c:f>
              <c:numCache>
                <c:formatCode>[&gt;=1000000]0.00,,"M";[&gt;=1000]0.0,"K";0</c:formatCode>
                <c:ptCount val="3"/>
                <c:pt idx="0">
                  <c:v>11262978</c:v>
                </c:pt>
                <c:pt idx="1">
                  <c:v>15191847</c:v>
                </c:pt>
                <c:pt idx="2">
                  <c:v>869758</c:v>
                </c:pt>
              </c:numCache>
            </c:numRef>
          </c:val>
          <c:extLst>
            <c:ext xmlns:c16="http://schemas.microsoft.com/office/drawing/2014/chart" uri="{C3380CC4-5D6E-409C-BE32-E72D297353CC}">
              <c16:uniqueId val="{00000006-CE9B-4050-867B-7C94966C7799}"/>
            </c:ext>
          </c:extLst>
        </c:ser>
        <c:dLbls>
          <c:showLegendKey val="0"/>
          <c:showVal val="0"/>
          <c:showCatName val="0"/>
          <c:showSerName val="0"/>
          <c:showPercent val="0"/>
          <c:showBubbleSize val="0"/>
          <c:showLeaderLines val="1"/>
        </c:dLbls>
        <c:firstSliceAng val="47"/>
        <c:holeSize val="9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rgbClr val="00675C"/>
              </a:solidFill>
              <a:latin typeface="Poppins" panose="00000500000000000000" pitchFamily="2" charset="0"/>
              <a:ea typeface="+mn-ea"/>
              <a:cs typeface="Poppins" panose="00000500000000000000" pitchFamily="2"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[Project.xlsx.xlsm]ANALYSIS!regionalvotes</c:name>
    <c:fmtId val="3"/>
  </c:pivotSource>
  <c:chart>
    <c:autoTitleDeleted val="0"/>
    <c:pivotFmts>
      <c:pivotFmt>
        <c:idx val="0"/>
        <c:spPr>
          <a:solidFill>
            <a:srgbClr val="99C2B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33998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9C2B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33998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99C2B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33998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ANALYSIS!$R$19</c:f>
              <c:strCache>
                <c:ptCount val="1"/>
                <c:pt idx="0">
                  <c:v> PDP Votes  %</c:v>
                </c:pt>
              </c:strCache>
            </c:strRef>
          </c:tx>
          <c:spPr>
            <a:solidFill>
              <a:srgbClr val="99C2BD"/>
            </a:solidFill>
            <a:ln>
              <a:noFill/>
            </a:ln>
            <a:effectLst/>
          </c:spPr>
          <c:invertIfNegative val="0"/>
          <c:cat>
            <c:strRef>
              <c:f>ANALYSIS!$Q$20:$Q$26</c:f>
              <c:strCache>
                <c:ptCount val="6"/>
                <c:pt idx="0">
                  <c:v>North Central</c:v>
                </c:pt>
                <c:pt idx="1">
                  <c:v>North East</c:v>
                </c:pt>
                <c:pt idx="2">
                  <c:v>North West</c:v>
                </c:pt>
                <c:pt idx="3">
                  <c:v>South East</c:v>
                </c:pt>
                <c:pt idx="4">
                  <c:v>South South</c:v>
                </c:pt>
                <c:pt idx="5">
                  <c:v>South West</c:v>
                </c:pt>
              </c:strCache>
            </c:strRef>
          </c:cat>
          <c:val>
            <c:numRef>
              <c:f>ANALYSIS!$R$20:$R$26</c:f>
              <c:numCache>
                <c:formatCode>0%</c:formatCode>
                <c:ptCount val="6"/>
                <c:pt idx="0">
                  <c:v>0.44242857142857134</c:v>
                </c:pt>
                <c:pt idx="1">
                  <c:v>0.2757</c:v>
                </c:pt>
                <c:pt idx="2">
                  <c:v>0.27044285714285715</c:v>
                </c:pt>
                <c:pt idx="3">
                  <c:v>0.75302000000000002</c:v>
                </c:pt>
                <c:pt idx="4">
                  <c:v>0.65761666666666674</c:v>
                </c:pt>
                <c:pt idx="5">
                  <c:v>0.42781666666666668</c:v>
                </c:pt>
              </c:numCache>
            </c:numRef>
          </c:val>
          <c:extLst>
            <c:ext xmlns:c16="http://schemas.microsoft.com/office/drawing/2014/chart" uri="{C3380CC4-5D6E-409C-BE32-E72D297353CC}">
              <c16:uniqueId val="{00000000-F885-44FF-9EFD-BE858BC4E44B}"/>
            </c:ext>
          </c:extLst>
        </c:ser>
        <c:ser>
          <c:idx val="1"/>
          <c:order val="1"/>
          <c:tx>
            <c:strRef>
              <c:f>ANALYSIS!$S$19</c:f>
              <c:strCache>
                <c:ptCount val="1"/>
                <c:pt idx="0">
                  <c:v> APC Votes %</c:v>
                </c:pt>
              </c:strCache>
            </c:strRef>
          </c:tx>
          <c:spPr>
            <a:solidFill>
              <a:srgbClr val="339987"/>
            </a:solidFill>
            <a:ln>
              <a:noFill/>
            </a:ln>
            <a:effectLst/>
          </c:spPr>
          <c:invertIfNegative val="0"/>
          <c:cat>
            <c:strRef>
              <c:f>ANALYSIS!$Q$20:$Q$26</c:f>
              <c:strCache>
                <c:ptCount val="6"/>
                <c:pt idx="0">
                  <c:v>North Central</c:v>
                </c:pt>
                <c:pt idx="1">
                  <c:v>North East</c:v>
                </c:pt>
                <c:pt idx="2">
                  <c:v>North West</c:v>
                </c:pt>
                <c:pt idx="3">
                  <c:v>South East</c:v>
                </c:pt>
                <c:pt idx="4">
                  <c:v>South South</c:v>
                </c:pt>
                <c:pt idx="5">
                  <c:v>South West</c:v>
                </c:pt>
              </c:strCache>
            </c:strRef>
          </c:cat>
          <c:val>
            <c:numRef>
              <c:f>ANALYSIS!$S$20:$S$26</c:f>
              <c:numCache>
                <c:formatCode>0%</c:formatCode>
                <c:ptCount val="6"/>
                <c:pt idx="0">
                  <c:v>0.53254285714285721</c:v>
                </c:pt>
                <c:pt idx="1">
                  <c:v>0.70463333333333333</c:v>
                </c:pt>
                <c:pt idx="2">
                  <c:v>0.71022857142857132</c:v>
                </c:pt>
                <c:pt idx="3">
                  <c:v>0.19491999999999998</c:v>
                </c:pt>
                <c:pt idx="4">
                  <c:v>0.32158333333333333</c:v>
                </c:pt>
                <c:pt idx="5">
                  <c:v>0.49425000000000002</c:v>
                </c:pt>
              </c:numCache>
            </c:numRef>
          </c:val>
          <c:extLst>
            <c:ext xmlns:c16="http://schemas.microsoft.com/office/drawing/2014/chart" uri="{C3380CC4-5D6E-409C-BE32-E72D297353CC}">
              <c16:uniqueId val="{00000001-F885-44FF-9EFD-BE858BC4E44B}"/>
            </c:ext>
          </c:extLst>
        </c:ser>
        <c:ser>
          <c:idx val="2"/>
          <c:order val="2"/>
          <c:tx>
            <c:strRef>
              <c:f>ANALYSIS!$T$19</c:f>
              <c:strCache>
                <c:ptCount val="1"/>
                <c:pt idx="0">
                  <c:v> Other Parties Vote %</c:v>
                </c:pt>
              </c:strCache>
            </c:strRef>
          </c:tx>
          <c:spPr>
            <a:solidFill>
              <a:schemeClr val="accent6">
                <a:lumMod val="50000"/>
              </a:schemeClr>
            </a:solidFill>
            <a:ln>
              <a:noFill/>
            </a:ln>
            <a:effectLst/>
          </c:spPr>
          <c:invertIfNegative val="0"/>
          <c:cat>
            <c:strRef>
              <c:f>ANALYSIS!$Q$20:$Q$26</c:f>
              <c:strCache>
                <c:ptCount val="6"/>
                <c:pt idx="0">
                  <c:v>North Central</c:v>
                </c:pt>
                <c:pt idx="1">
                  <c:v>North East</c:v>
                </c:pt>
                <c:pt idx="2">
                  <c:v>North West</c:v>
                </c:pt>
                <c:pt idx="3">
                  <c:v>South East</c:v>
                </c:pt>
                <c:pt idx="4">
                  <c:v>South South</c:v>
                </c:pt>
                <c:pt idx="5">
                  <c:v>South West</c:v>
                </c:pt>
              </c:strCache>
            </c:strRef>
          </c:cat>
          <c:val>
            <c:numRef>
              <c:f>ANALYSIS!$T$20:$T$26</c:f>
              <c:numCache>
                <c:formatCode>0%</c:formatCode>
                <c:ptCount val="6"/>
                <c:pt idx="0">
                  <c:v>2.5028571428571459E-2</c:v>
                </c:pt>
                <c:pt idx="1">
                  <c:v>1.9666666666666718E-2</c:v>
                </c:pt>
                <c:pt idx="2">
                  <c:v>1.9328571428571428E-2</c:v>
                </c:pt>
                <c:pt idx="3">
                  <c:v>5.2060000000000016E-2</c:v>
                </c:pt>
                <c:pt idx="4">
                  <c:v>2.0800000000000051E-2</c:v>
                </c:pt>
                <c:pt idx="5">
                  <c:v>7.7933333333333313E-2</c:v>
                </c:pt>
              </c:numCache>
            </c:numRef>
          </c:val>
          <c:extLst>
            <c:ext xmlns:c16="http://schemas.microsoft.com/office/drawing/2014/chart" uri="{C3380CC4-5D6E-409C-BE32-E72D297353CC}">
              <c16:uniqueId val="{00000002-F885-44FF-9EFD-BE858BC4E44B}"/>
            </c:ext>
          </c:extLst>
        </c:ser>
        <c:dLbls>
          <c:showLegendKey val="0"/>
          <c:showVal val="0"/>
          <c:showCatName val="0"/>
          <c:showSerName val="0"/>
          <c:showPercent val="0"/>
          <c:showBubbleSize val="0"/>
        </c:dLbls>
        <c:gapWidth val="100"/>
        <c:overlap val="60"/>
        <c:axId val="1138275327"/>
        <c:axId val="1138277247"/>
      </c:barChart>
      <c:catAx>
        <c:axId val="1138275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00675C"/>
                </a:solidFill>
                <a:latin typeface="Poppins" panose="00000500000000000000" pitchFamily="2" charset="0"/>
                <a:ea typeface="+mn-ea"/>
                <a:cs typeface="Poppins" panose="00000500000000000000" pitchFamily="2" charset="0"/>
              </a:defRPr>
            </a:pPr>
            <a:endParaRPr lang="en-US"/>
          </a:p>
        </c:txPr>
        <c:crossAx val="1138277247"/>
        <c:crosses val="autoZero"/>
        <c:auto val="1"/>
        <c:lblAlgn val="ctr"/>
        <c:lblOffset val="100"/>
        <c:noMultiLvlLbl val="0"/>
      </c:catAx>
      <c:valAx>
        <c:axId val="1138277247"/>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675C"/>
                </a:solidFill>
                <a:latin typeface="Poppins" panose="00000500000000000000" pitchFamily="2" charset="0"/>
                <a:ea typeface="+mn-ea"/>
                <a:cs typeface="Poppins" panose="00000500000000000000" pitchFamily="2" charset="0"/>
              </a:defRPr>
            </a:pPr>
            <a:endParaRPr lang="en-US"/>
          </a:p>
        </c:txPr>
        <c:crossAx val="113827532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rgbClr val="00675C"/>
              </a:solidFill>
              <a:latin typeface="Poppins" panose="00000500000000000000" pitchFamily="2" charset="0"/>
              <a:ea typeface="+mn-ea"/>
              <a:cs typeface="Poppins" panose="00000500000000000000" pitchFamily="2"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[Project.xlsx.xlsm]ANALYSIS!top5states</c:name>
    <c:fmtId val="6"/>
  </c:pivotSource>
  <c:chart>
    <c:autoTitleDeleted val="1"/>
    <c:pivotFmts>
      <c:pivotFmt>
        <c:idx val="0"/>
        <c:spPr>
          <a:solidFill>
            <a:schemeClr val="accent1"/>
          </a:solidFill>
          <a:ln w="28575" cap="rnd">
            <a:noFill/>
            <a:round/>
          </a:ln>
          <a:effectLst/>
        </c:spPr>
        <c:marker>
          <c:symbol val="circle"/>
          <c:size val="10"/>
          <c:spPr>
            <a:solidFill>
              <a:srgbClr val="00675C"/>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circle"/>
          <c:size val="10"/>
          <c:spPr>
            <a:solidFill>
              <a:srgbClr val="00675C"/>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5400" cap="rnd">
            <a:noFill/>
            <a:round/>
          </a:ln>
          <a:effectLst/>
        </c:spPr>
        <c:marker>
          <c:symbol val="circle"/>
          <c:size val="10"/>
          <c:spPr>
            <a:solidFill>
              <a:srgbClr val="00675C"/>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75C"/>
                  </a:solidFill>
                  <a:latin typeface="Poppins" panose="00000500000000000000" pitchFamily="2" charset="0"/>
                  <a:ea typeface="+mn-ea"/>
                  <a:cs typeface="Poppins" panose="00000500000000000000" pitchFamily="2"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ANALYSIS!$R$29</c:f>
              <c:strCache>
                <c:ptCount val="1"/>
                <c:pt idx="0">
                  <c:v>Total</c:v>
                </c:pt>
              </c:strCache>
            </c:strRef>
          </c:tx>
          <c:spPr>
            <a:ln w="25400" cap="rnd">
              <a:noFill/>
              <a:round/>
            </a:ln>
            <a:effectLst/>
          </c:spPr>
          <c:marker>
            <c:symbol val="circle"/>
            <c:size val="10"/>
            <c:spPr>
              <a:solidFill>
                <a:srgbClr val="00675C"/>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75C"/>
                    </a:solidFill>
                    <a:latin typeface="Poppins" panose="00000500000000000000" pitchFamily="2" charset="0"/>
                    <a:ea typeface="+mn-ea"/>
                    <a:cs typeface="Poppins" panose="00000500000000000000" pitchFamily="2"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ANALYSIS!$Q$30:$Q$34</c:f>
              <c:strCache>
                <c:ptCount val="5"/>
                <c:pt idx="0">
                  <c:v>Kano</c:v>
                </c:pt>
                <c:pt idx="1">
                  <c:v>Kaduna</c:v>
                </c:pt>
                <c:pt idx="2">
                  <c:v>Katsina</c:v>
                </c:pt>
                <c:pt idx="3">
                  <c:v>Jigawa</c:v>
                </c:pt>
                <c:pt idx="4">
                  <c:v>Lagos</c:v>
                </c:pt>
              </c:strCache>
            </c:strRef>
          </c:cat>
          <c:val>
            <c:numRef>
              <c:f>ANALYSIS!$R$30:$R$34</c:f>
              <c:numCache>
                <c:formatCode>[&gt;=1000000]0.00,,"M";[&gt;=1000]0.0,"K";0</c:formatCode>
                <c:ptCount val="5"/>
                <c:pt idx="0">
                  <c:v>1891134</c:v>
                </c:pt>
                <c:pt idx="1">
                  <c:v>1663603</c:v>
                </c:pt>
                <c:pt idx="2">
                  <c:v>1555473</c:v>
                </c:pt>
                <c:pt idx="3">
                  <c:v>1106244</c:v>
                </c:pt>
                <c:pt idx="4">
                  <c:v>1089567</c:v>
                </c:pt>
              </c:numCache>
            </c:numRef>
          </c:val>
          <c:smooth val="0"/>
          <c:extLst>
            <c:ext xmlns:c16="http://schemas.microsoft.com/office/drawing/2014/chart" uri="{C3380CC4-5D6E-409C-BE32-E72D297353CC}">
              <c16:uniqueId val="{00000009-3728-467A-83FE-84DF82E987EE}"/>
            </c:ext>
          </c:extLst>
        </c:ser>
        <c:dLbls>
          <c:dLblPos val="t"/>
          <c:showLegendKey val="0"/>
          <c:showVal val="1"/>
          <c:showCatName val="0"/>
          <c:showSerName val="0"/>
          <c:showPercent val="0"/>
          <c:showBubbleSize val="0"/>
        </c:dLbls>
        <c:dropLines>
          <c:spPr>
            <a:ln w="25400" cap="flat" cmpd="sng" algn="ctr">
              <a:solidFill>
                <a:srgbClr val="00675C"/>
              </a:solidFill>
              <a:prstDash val="sysDot"/>
              <a:round/>
            </a:ln>
            <a:effectLst/>
          </c:spPr>
        </c:dropLines>
        <c:marker val="1"/>
        <c:smooth val="0"/>
        <c:axId val="1759778496"/>
        <c:axId val="1759780416"/>
      </c:lineChart>
      <c:catAx>
        <c:axId val="1759778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00675C"/>
                </a:solidFill>
                <a:latin typeface="Poppins" panose="00000500000000000000" pitchFamily="2" charset="0"/>
                <a:ea typeface="+mn-ea"/>
                <a:cs typeface="Poppins" panose="00000500000000000000" pitchFamily="2" charset="0"/>
              </a:defRPr>
            </a:pPr>
            <a:endParaRPr lang="en-US"/>
          </a:p>
        </c:txPr>
        <c:crossAx val="1759780416"/>
        <c:crosses val="autoZero"/>
        <c:auto val="1"/>
        <c:lblAlgn val="ctr"/>
        <c:lblOffset val="100"/>
        <c:noMultiLvlLbl val="0"/>
      </c:catAx>
      <c:valAx>
        <c:axId val="1759780416"/>
        <c:scaling>
          <c:orientation val="minMax"/>
        </c:scaling>
        <c:delete val="1"/>
        <c:axPos val="l"/>
        <c:numFmt formatCode="[&gt;=1000000]0.00,,&quot;M&quot;;[&gt;=1000]0.0,&quot;K&quot;;0" sourceLinked="1"/>
        <c:majorTickMark val="none"/>
        <c:minorTickMark val="none"/>
        <c:tickLblPos val="nextTo"/>
        <c:crossAx val="1759778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F16B995C-7CB0-4809-99E8-6C00A9D9F8E3}">
          <cx:tx>
            <cx:txData>
              <cx:f>_xlchart.v5.2</cx:f>
              <cx:v> Voter Turnout %</cx:v>
            </cx:txData>
          </cx:tx>
          <cx:dataId val="0"/>
          <cx:layoutPr>
            <cx:geography cultureLanguage="en-US" cultureRegion="US" attribution="Powered by Bing">
              <cx:geoCache provider="{E9337A44-BEBE-4D9F-B70C-5C5E7DAFC167}">
                <cx:binary>5HxZcxs5svVfcfj5Kza2Ago3bt+IQRVJUast736pkCUZhdpQC2r99TdpiTbJ9syN1uhhFJ86wm0L
BAniVGaePJnAf9+O/3Wb3980r8YiL9v/uh3/fJ04V/3XH3+0t8l9cdMuCnPb2NZ+d4tbW/xhv383
t/d/3DU3gyn1HwRh9sdtctO4+/H1//w3vJu+t+f29sYZW77t7pvp+r7tctf+i7HfDr26uStMGZnW
NebW4T9fh7CI9lVj+vvm9av70hk3vZ+q+z9fH7zw9as/jt/uLx/9KofVue4O5vqLgAssuc9fv8pt
qR9/HSx8gpgQRKKHH3/3kZc3BUx7WMv1di2v3rkbd78b/t2Kfqzn5u6uuYf1P/7/t29x8EV++4pb
25Vuu6UadvfP15dG3zfm5vUr09rwYSi02691uf6xD38cwvE//330C9iZo9/sIXa8jf/X0F8AUzfT
fd7C6p4LLLYQnEgR+Ew+/IgD0PgCkSCQQvBH0Njuox9Ae1zPUwE7mn4E1tHoiwLqbLhpnhGmYBFQ
LgKJyW9hYgvOg4AFPn6ECR/C9GM1TwXpYPIRRAdjLwqgf5Q3xbfnhIgvCA4opjx4hOjQ/fGF9CkO
GKa/t6TH9TwVpKPpRzAdjb4soL5tvfFz+Tt/wXyGAIqdQyMH/k4sfOxTxKX/iBLdffSDv/sHLObJ
EO3NPcZnb+hlgXN3U9wMz4iPBAAgHgn/0YgkALBHIjBZ0CDAQUB3LzjC52E9T4bocPoxSoej/9FA
/bPF7dvRwWv+JsmTi60BUZ+LR0MBNreHk1hs8RM42A0f8YafLOufr+f3FO/nxIPF/6fTtmXZ6W73
pP6Oz/49hs0X/taBSbrb3WMnxjADJ4Z3NhLsPvrBif1YzVNN5GDykYEcjL0sgO7sbo+eAx6OBPcF
+z1Z8xdSECIwY4+mc0TWlnf2yeD8mnoMza+RFwVMdJ+7ZwwvPiShAkwDicf4Aqax57b4AgugaBxe
8vBz5LZ+rOap4BxMPoLnYOxFAfSPbLh5tflmi+ezH7aQDAWc8r1sZg8ksQCICAED+4XhQxh55Gi7
FT0VqJ9fafcGR2D9ZfxFAabuy+5fait/LxaJBfUR+Dr2+7QnWAiQfALBjmLQj1Xs9nefBBzs9YP6
9Red52DywYQ/Xx+MvSxgbrrbxDyfGWG04IQEBHSBB2cGcWbPjGAYtB1g2gTYw779qB/reDI2B7OP
wTkYfFno2KZ8Ro4AiQyQY5/KI1DogiKAi/7kDkfYbFfxZGj2Jx8jsz/2ooC5artyt0n/PncDAYAF
DLGfKo48MBq2YCCWAkT8MfaAyLNvO9vFPBWe/blH6OwPvShwlt9sOT2jTwOCJiWXWOwyn0N5IFiA
5QQS4d3wETwPy3kqQIezjyA6HHxZIGXGPSNGYiG2IihQ7F8kei/u+Atg4AElj0EJoeP0Z7uaJ0O0
P/kYof2xFwXQ2hbfnpGyQeQHABCSx8EHLwiCsh0PjiD58flPheRg8hEkB2MvCpIfOtTO9//7YUcu
JCUcwspBtPEX3McYBYI+Rhsozu1Hmx+LeCouB5OPcDkYe1G4bIpnJGmgFgS+ZD5IbQ8/h/CIBeIc
6txH1gJLeCome1OPENkbeVF4nBr9rPWBbQGA+IRyeqh5busGiBJJdnXso3zzYR1PxeVw9hE0h4Mv
Cp2zm7uuvNk5lX/fjf2ILMSnBB+iA5KNTykh/s6QgFXvO7KHdTwVncPZR+gcDr4wdJ4148SLQLKA
SnKY0kBfDuVQlsY7Aeeo5Hl28/SMc3/uX3D59bYvDBXXmmc1GrLwOaSUZJe0QDzZ48sCVBwk9iTr
IxJwdvNjPU83noPpf0HpYPRlAXX/7dszpjUYL7aVAV/4v5XT2AIjAb0Fu5qPPIZpu5ong7Q/+Rii
/bGXBZDVz4gPpJ2SSahKk9+mnXzBA/iPiyNJ4AwW8WRY9uYeo7I39KJAOb/Rtt1F53+fEUCpmnCJ
KN7xssPgQxe+EFAHZbvhI9r2YzVPhedg8hE+B2MvCqDLmxZaC5+z5yZYMBqIgO+zs70AFCwIhSqC
DyHo4ecIo92CngrT8fwjpI6HXxRYV/o5xWnoIRRBAHXPHVUDJPaAolscgd7RnQc8KuxsF/NUkPbn
HgG0P/SywCmfs+sD1ACCJA/YTqw59HT+AkGzFBNyV9Q+otlXsJgng7M39xicvaGXBc70jEIOuDAM
fYU+OjYYnzMSyGO982p6OhS/ph4j8WvkRQHxBk523N88Y/eaBEsIKDQM7PqfDrUC6CwMCCfQ/7Fj
IQ9tHY/reKqNHE0/Audo9N8F6PCMyKtfZ2MEZAkIhF6y15q358HJgkNzMnSGHfUd7ZYX3VdwKqgA
6WS3N79jaL/vnPzde/yTXdj/mKOtgPYKA+XW48Mx6vQ/4HDMj7NDz8hd2bbRCLD6WakCVPbA4nDO
CUGjktiNH4Xbh+U89Xk9nH0E1OHgEUQ/xPv/2BNM72xm3TO6dkxBhccYb+uNDz8HIPkLiqHDBTqV
f0n4+8rjw3KeCtLh7COQDgdfFEjvIcP49oy6MNTlMUiM4PQfUTh0+SAbCyo4peKRHB1VVB6W81SQ
DmcfgXQ4+KJA+mKftSgMDUkENHqgrw9Z3qEKCeoXJIA+tJzvIs9DVP6/FvH7WPQw6wiKh1++KAi+
3hTfn/WcH5S30I/GCXIcaxgGXkCh++Xh5wiGx4U81USOph8BczT6ohD6x7cu/T8d2b86sPvPx36e
gY5u3M3yx+HpvfO8/3p0dxD4aOpjUeyB1B3s887qNnd/vsbC3zuts32Lg2Laz/j/EOd+zri/aR1M
hrOiQsDREArnRwIBpYXXr4b77QiQz21rG3SFQDevlJAvvX5V2sYlMIkuQHfg0K0oETTHgxr0+lVr
u+0Qg3YeoEggSUBqC8d9YNbuy72x+aRt+XMnHv/9quyKN9aUrv3zNTSovn5VPbxuu1BovIcyIcjo
cJwVCrpCBLC86vbmGs7Fw8vx/xN5S1jaxSrvU1ON6wmNaa4osUhu5hxNwWUldGnU2JssueiccC6i
Lm/aTarHIAubipc8HAlv3ouuNG1UZYMerqT1E60839TEKN3VKDitHC5TqRghJLcwI0M0wm01J6ou
kGdWGRFNeiImlvphhVLLL1jZDiiEr+xZ1RjU+apw3oSV5bBTYT+mIlWjh22pOMVsVG1uM6e6NqMX
zE+8r7NnuK/qbkC58n0xXbBW6q9Zamga0oJMfVjyooL3K1g8KDZkJldZoEV1wjyXFIplQzGHaUxS
E9IhlU008dHVKknF4JQzSU1XtOeWLzkylQ29OuPTCStZ/lmKjFyyhFm8dDrXV83s5E2CA/+z1S64
q2Iim7Cd/M6opGn7TE1dh/nnmMBHftK4dr5K2TAWFxPJZXE69Fneq9KSWESdj1iwYXk52Xd0TrmL
5moeyDITs2xDUYlgXqI+iROV+l3w0dqW4ne+Tbr5wk+b7lzyOBgBQy+vSmXabj7N67hur9o2RvmG
pF3gVMVJdkY4HZ2y7TB+LnUcdKtaBsnQqn4s4482SXu2GqSXFCdtnDRUaV6ndFmbtv7WTKXFaq4D
cZvwMk5CRCb2cSh89wUZ5/lLnGdu3QV1VYdJVQa3bWxtE6WDGdp1M2f+ECJcWKbKwC+QCgLdnKW+
7w0K827yV03KxRRmzLS5QhPvhQIToCIcMSxr7bd87FVTd+2Js553l/SeGdQ4GHOG4za59pxpv0NO
+MEZXWUqaTEiYe6CqlJ5Gph33WBLAxuU1as8xyMNvblpPMVnQj8RO2ZYZQwVkxKT7193rE+J6tMO
6dAk+VypPufSUzEZWqLcWIyfxxKqkeFYd+UtcZ5pwoA6XKiZ+/PbOuc+rA1jU6wItUGp8rKfsxBI
Q3OfkCK+jYeivBKU4W8GzWm+arUdB9WJuuwj3sd+Bn+a4WsAll8r1CHSrGMUd5Uyk6RWdWM53zDP
r6566nda1XUzzirrbeAi1MS+VEFS21klxKT2lLiGtsogYk2o/ZYOCsXDhBQxM54/55mOb4sBM7Gu
CkvKMz/odAWPblG170pNWBKJWBqjekeyNzj1yXU8Vdk59mYXR0mTobu67sm80oaPhWr7NPic+pq/
ddzJz1aIvFR9hYXZ2Jw6u0mGvLiqc4syVeQkZmByIq1C6QJ9T9oJaeU3dYBgcJhJ2NbBVCif2kGH
8TjmH4ZEJxJcWTJ3H1Kb6y9dusVH5qlhanI4QBGfBnB9o8kJVjkfba4SGtTgpLCuL2SQFh8QgU9b
xiKdPs7TQJOrvmgbDs8h77LrZmRNHFHk8SyKg1mfMJLUw5rDWRq31A0f86WfDs0UdrVlOqJeXoBB
1bxBqjQsN0rGhW5V1glJlCc7WkWsxEURVX2aoBX46KRT2mbbbyeNZyOP2b6G79ubi9YjlCmLucwU
noMqjoKGxnw1Ca//4iFhvxSsJp0aBq/qlVcTPURuNHRWeRdMKfyp3ai4aPlV3pbDtzZwzVk16jlX
WvqlU9lUjVXUckav4YEd8XKKi1wqzVgyLM1U8zwyviQoqsDgSkXp7IYwZh0tw4kH6bAUoqqSqzhB
yabJumxWMxH62tRF79QYz92qJDX45JoBBMGUe4UqdN0WF/HMS3vmijwtVD2lulsyiEGdymY/LVZB
XDi55HFRfjVBDQ9FZ/RYhq6W4rqNvXhWfsUTHuUO4h081qP5YgwyXdi0JQoiCab2njHuWjXH1J7G
BcHtMtOBn4aaVbFT4E0RUhAzukZNNfED5bzCaTDS3KujXFvTKpuS4qNpk7iMhEM+VjX8MYVoRNVH
Yqz0wqbL4OHrDSqTMC8L/0vikkyHuY1N1PB0TpY1rpJKQec1uxulQbWCWJ9+CfyYo3LDhtYfho8x
L8CgFU8afDe4orzs5tlkiuBZbPw2K/p1bEj2PR1JfumP3P9APDN/yTvS3CYe+MJwspbf4bbzYjVZ
hD6ONpWTom1jvzPtJ+txFvYsx/P81WDSXcgY11YlsaVSVXXa2Kiuc5OFprb4enIz/sT9VCeqEDaT
aoDZn+OaDlYxSebrzHjz98xz/SkW4AbCxjC3HvJ07sKkF/KKkcJMKoUOZV/1DakTherE9solPd74
nYBnphsyDq4RjMaouBt6CobS8/eZ9lAWZk0sepXHzNUrluqqi9jYDIXq/QxdJHmd3LajlwVqrCvK
Qj/Pp+CtpjPOw9ZAMnzZwp1BOvR0MEyZGtOykBhifG/oTSaRS2Di7HB3NhBdjG/mufDHShE+dMG5
lrjPzrn2+hQiyzjH5XueG5dFQ5AyeAYyMcYnXeY1aFBSFwhvJs/P0dtmqgMcCtbkRQRHWGUZZZxW
F4Gtg/ysdAlvlJhTfCsCPQx3eJp0fW7zOPci8MAFeKZcdiaahiym25nTHOZTQr/p3EuHkKKpaGNw
RSx2Ud2ZOI7m0aF403ZTl3zis/PYsvXaMn3vpr60UR6nKD2JzaC5URy8PA4Lf4KNkY5MAPvc9vHX
jrGWLtFQSnZiOxsIq3qZ9ywAx5XLulw1vt+j+zoDN6Y86DtH64mn3jBHvfSZG5QfFCw4l8bF03cn
R5RdtuAgmpWjRdBcmEzb5iJGWSo3iczw7C8L4BbjEM2oRPkqGapOnOkspTpks7b6nPQs199s4zUy
StyIAKbUL1xoWAwLJUkXDydj3DE6qmLUlN11o+vyU531U/YG7j1Ac9gAnfbWZVs7dBpXU1+HaIJn
9ySvvZqvajRneQiPqaUhnbnBH1s0E7PWtQAqDA+yP34I+rQMVOn7g6lVSupafJEDxp/H2BvJugi6
+Dvq4EqZdZmlfAIvkU1EFTFCqSIzPMyR64vOrYK6F+6kzJts2sCeZ104od60IW/S2l2l4HjysyQl
3b0HNPoiGGPxVZQTEiscTJlZ4aZtyZoGvZyWA+jGJJwFjufQ+lz70TwLE8Cm9fayClqPLqcOoyq0
3Nf63IMvlofCo3hSAVDtUTWVqL+BTzDdyu/bAB51jAwLNR364MqJDswcBzm1Swa0owa21mkK8Z3U
3RI62tH3mqIMGLw0JfDvbK7pknekJsqWSRZHHIsxBw7Su3wNBIE1qvZHsLdY+uD1KoibH5g0Ev5K
Wf3eMmDTq24Szg+bYWBtWMR45MtKmPS6aqbke0l4moV5z7tCyZFNZ66Ki1q1QKldZEvBtLJN21nV
1nyQqpEFD05xomGLG4GSTx6uRBV2XGcodLRJi7D0uwyoSp2h5A3tGt1tSt+aEejt1NkzNuR1qqYk
nmw4D15ansjBViLMynRmqu+6rLyox4YnyuZBTc4yaaccNq/xkmXfid6EqcWDF3kIUFAi4Zm/ZHYO
kjCDN8sj1NVJHDrWZK1Kq6nsQj20k4iGNBkmhVo53PbenAOLbhN7ryuTy2Udl3X6rcorNjVRrT1I
LqbWVHM0c9zaOayt6IMupNrxJlO2d91Yq9kXFe5XkHZIP4+Er4kfq3KkXrycJupImGWlEFcB+Pz4
dC5d2lyKphjTT8Ifxi4Oy4amuAobIP/sPVDPlAJBaKrCzeF+ieIgN7211dQYnTzeqPbzn/9zsbum
7cedXr9+v72T7de/rqr78p1r7u/dxU11/MqtfvDzpb8uB9tm7T9vCjtSAR5ud9tl0X9n8EA/OFBx
DvQDjoF9Mwap9c+L3f6iIhyco91TEn7NfdATJCgDjEM8FSAMUAq7vtMT4CgdRdueEgYHGLYn6kA0
eNQTggX2A6CCgoGmAC0L/i89gS8Yw9sWBxATiL/tv/87egLZtoXv6wkEFoT49nozONQHZcXtl97X
EyATyhpWoCWOO7sEip9e9MZULiz6xpwBjwJGy0j+FfLPEhix6wK79DT16EqK1kH+6lEI43Pe1iF2
sqjOkwSIttNl+2mEfpkyystKt+9F68sbVBbFEArppVhR0C3izdDlQaJKCva0GgrPpieOaaCOaWlQ
f1pByNe58oYS66jo/blTZZPl3Xub5pZ+p+PQJcvcdu0yCabuxMVQ5TibXJ0thSfjdVC1hTnpG15u
hMz15yQvBDqdGJsqldbxQDY+5vF8znqTaEjkMr9NVrphcpMHPB/XrdcnZElxqvFSWzZsRQU+9Rdw
paGoQ8nAz0I8jkfwZHUcoLDPxjb/GjhpBHCSzhveuMKkwWWJdGLXdd/7yabI8/xEa+SV63ioh3Gl
k8wH71saSAyxV7R0Qz2WvWtl4VXLPGs1DdOsNg0EUYGLKJsS9tH42g/rtiL556FEQx7VMqnDyQAz
XwZ5ha91DN9s2cgKTRFIH4KAc5vFMq+CCoHDJf0nCLz1puBbFSCu1gI5/34KaNEv47TAQqWBn9Fl
4PlsUCmuY6IqLzHvnJHed9o3Sb3ME9QPChKYblDgaAF9NqG3xsvKfikdnelV37b+CdnyO+ln9QZD
jH1DWDyveJDVTeSDmDuFFPfeKrNanhcj86YIpInUrKZST188V+gx6to8u27zYvzYtR66boDlfnMk
Nncgn0mkZGLZR2D4gkY+PDIrk+bx1SDi9BR6HaYwb6ZmhVPMv8m6zc/jMptdqAmeIL2txjoNicyS
dVd0b7VH7YnuEh1mif7gN1l2IrHTIFEU+bIBEn2d1Dj+jmVNL3CDPw21u81QnZ/4uEk+lkORhNbx
ajk0QR+C9mE3qG3YyiKHN6lNbrIRExWjyTuZG3KJyrx4I1k6ASGdbmXK83fbj5WZuK00vsgqeOBT
KdGqqTpz7hXJXdz4t3WRf4DkMNs0vJijwMzrpsJJH7rcyrf+kOI0TN2sz/KZTPW6Gufx69yOzZq2
cVEs0VyTN64P4g0wnuFTv10oL9JZ6Vi4Kx/r9DzTPD8p2+ACMnu/UT03Q0gqfCKnoF+WkJWsGZkg
9RZ53XxKIenWkOq0/ZaydKHhGkVpwMaoajzYxjz5UFSpF9Eag0XLOcveDm3rqdEvwdHMegiTFlJ/
LZM58gqqz/OCwbRgbK+6pPlUxIkBzkOmsAbK34GIGHifpR4g0hD/gg5yWrXBMIblXNuPoAHmK5Dz
Vjqf4uoJge6FhjAKPSL/PIQd9Hj+JYRt5z6EMLa9wgJa6uAsF/wFwe1juxBGFtB4v73iikEgIhzq
zD9DGPQTw9EvKMZwUKzhMp9t3HuUxPmCwhhEHhiGehokPH8nhHEQ9w8j2FaOR3B1IDTFUJ8wdBjB
nFcNIw1MWPsI0kWQMrqLcraeUY7qLltW/hBsYj2c06rWLOR5IK+GVtfTkmEkTyY7o0tgg9m57+Ju
1afOAN+KJfBLEAaSXNWcowIytZzCQ9jn1aRkI0uQQHzQ+64H1NTpNY1BsvyAyjHBKk0HEvZ9zC7y
FI2JGqGyOy6Lcm5duJVBTqtMtl/c2EC2KnUzXnqYD+9kF7ASkufO75YEWMOk8hpytnAa+i7K89Fz
YdcWNvnI5gTyniETkLaUiPIrcKnjijtk73qIyyJMOsiYosyiFBiy4fl32dRnXZVO9Hzq4nZ633qD
LK/2+SiydgjCoqkLfpm0FaeXcx+MXQhCmZetq96nzee8kmmxhtSED5d/n0i+UPti0MP4z+3rdxeF
/Kg2PXJEmPxYc8LQG0m2h/IhE4MuAAk9+A81J7geBqgjBg4It2FB4Wl7amJXc4JjMdBQCe2slPsM
bqgFZvdoYBJuYQB+CNbFQdxlcDzz7xgYXC94bGFwnYOAKx+hMMYo9NDC8vY5Ym4mxjEZ1gEt60lp
yPw/246zD7oV+Q2rEbmG9mifntCqTzZjC7n6Jeh2ILVCka37akCo8E+LDC7BAfU/zcsNCCTNoAiU
K8i6yhpkT0YN5GcdNC2MGszSeJliRjpIzYounEEfJ5cFR0kQznES96ctSFBi3c4kK5a666GOkraQ
Y6c1JIARnEKxE5gB825mMPGwJhKKQJmRkNMms0DrgUEwPmHWEYVr31rFQWPh0RQEffym76nMQc8H
UXBdS81BTKYtaHo4gPIzqLVy+No1Usdqzgd3xsqmX3YNJHQKhLqELtuqHoOTUVbpJhHjPITeGA+g
gdfDXLxHXcmhWJXMNVe9GHgfGchMqYr9bliDthGjj7gQzXIqoMi0hqLStOYD42UIJSl3BWXBZpMN
VdqfuqpuGtB9s+q0wLy9riqvOheNmeLVnMQjW2K/Hj9NpGJ4yQyi79JiSLdih5PtMnWYfpHMinJZ
xr2MITtG8ZmfYv8NAtHKe5OBGv9l0hnon4Kb7BJ6VzoblbJpYmWSRN/4SQ3OqoWdv9myihjqRaBX
Q+WPdeIkBiVg5Q1evhpiN4U2QzhR0hPAYS0wkbuZ1M3nwvT5vJyaVJw7PJyB/tXPkQugXvoGTx6U
PSaoJd7EZh6inpa0UlDP0/NpWXnichQk/+aBEp5t+OSJOirmTMMetb09rRkuKjVD2DFhTlAQQmdU
OqpU1EAh+qEjswr4PAMrsbJDwEXybDorY+2lCiZ6bsVwwxlATuZSMagIhKO18DTyicu3fGbljTQg
sb/z62loV6jUFfoYeMJ+JFmvV0lMZ+BTGNs3tJy706zi4q4ASaFQU2nyD1w3U7VMR1wZCD5wP15Y
DXW6Kdu078IO9ghSCR331xZM6M0s/A4iQt95xZJwEIl4a6bPKecORA0SUyhACBdWRWU+101b39RY
ahtWdlujxMMIFQFrknI1FsMkVcahNByOeeB9dEXCg2UteDIpDyo9+TqTY/mmb+KhPSvrgFmVD4Fb
sxH4NbHbKkEvcnnpgZ1/EE0fbyx3ZTTYhG/IUFqgbDm/7FndXHtpL7+XkHvZCDHX3xUyoZmSYFeR
ry0UN0yQ6TT05zS+SG09hw4CegTlwgpcwgRi4+TQXWCYeZu37cA3ncl1oVCaOHzeOZ+qyoL6HuvZ
ppGbR81AEsmTUtVDUp22mt0lY3HZGErPgM4PS0Kr/B2ZOJS0A6gqXwoJQntUZkVpFWoqa6PZCq2X
BMD2FFTYyrOuhEq0KupefwSnDJR9Ii16MxozeaqABOOapYR16wwVnnflz9LMoY65Tt/RwU8+ZbJB
TrGEsBVYxZCEUnq9v/EB+09QSOU6JK2Tlz3Igu1JxtpGdcOUQwEUJGSV0vm+Ghq/WSOD0Pcmqbzr
eeDluefJOVZ+LkYSQaJafY7nVIMnyHl5VsH9VX1YJxMHf5oMJFlRMSGz5pWtwSLy9sQbk5MKDImH
nvSqOmo0Aqk/0508sTrx7oNmhmKpdq754EM1DHJOE3+aHBj+ew/eoIM9N8hFMu14dxa3rmPA+bXL
FCugmqf0JE9HD3SuTTcUxC6LQkN/QSI6bi5JNtXDaqgLUBwZtSDaGk9Ah4AEtaAGjoU1UW2F59Nk
tt2HBLHaW7IpGBqVDAkosf/f0IxtaP/nNOOvdy7vkYzt1AeSAVfOQoTdXjoLh2DgfqDttQwPJAOa
rrfiDwzBpamEwCnBnyQD7rdncDQAerIRkHUgGr9IBnT/Eoqg4SqAN2RECPp3SAZcRXBMMuAePJD3
BdyZu71jmsLy9kkGPB9pIksWQkOH2KAieG+AOKuZmnKJ6yaJgs6Xb4j1+nCcMnfCeSGWBYbKP+pw
qlznutDjdbuWMaGhX83NW9MIcKCTl76dZwYPsgD/WvDyJE17s+qqbFrVg1kV1Ll1XSWXDS0/G5CC
lAaxLoo9B2XjWdz6sGsnrjNrVhQmguI72oxxRi4ml63m2BXXzEvJW4vAeU4124CUkl5UcEZ2pVOR
QOtBe4IgNAxDfuZNKbSheEKx7bdAs/5aZeJ0MqdCpMlZY6sTC40x54WXRpT2d207JZ/8PF21pODA
X0ipQJE5m/0YhcQUBmriel4FqFn1uP8CVYuTtKnXTYsqxevmf8k7syU7daxbv8p5Af5ACJC4pVl9
9o3TviHsTFs0AoSQ6J7+DJZ34137Pzui4txV3VRUhctNZi6kOcf4xkAknVo/8soRadT4p6UWMLEd
2mQNXOVPVrrN57pY+GfiCbH3WST2K+Y0WI3ljga9SZWcypvCL1f8NfUuhKIDj9XVmYxGON2B/7Bw
r8MNWH2Mkf4UiXo62Gh4iCBYxDwXeQrP8mCp4JkfrVjz1/dgcbJV+fie1P4H9+rXGXbb99JZVELb
wts5Znmga9nvZS+DOPRgKZLW/3C9uXpgKoAU17IoheLRxT0dAriOwYILSussH/0GI8eyfLhCsC/c
193Okn76HCiBE8+4Q+oGhuCfxLqbHpfjuQ3J5574JuFrV8PjjAiOfa8Ob5xSfFQl3LpxCNaY2qG/
nXW/xkzIj2jxy4/tv5Si63CDguhore6PszNUl2is5jIuGb4hS7+UX1a3ai+qD73Y71uxDwsVpR3T
3b0SSxuvdRmauFiKIq2t8V8VhNY328n51Pp+nY2+HdLQH52D3/jBWbu5/xr10XogJJ+e1rCenooV
lkAsVcFFOvQTTNNwrn7U0WqytuXrIVrL8tYvuznzlmg4jHIGpiI8tzrP83qvpacPhWDOw7DW8yn3
hYIdMc01vgKtdu6cA48CX3Y/hrTO3LGIdpBEbRFLhzzA7Rhi0EDuR2e9b6J2eEzwTf426Y7GzHiA
WaLaq7PIab2DxNaT6c6qXTmtTjbgWjv3Xe8dbLso3LrQRrNG5vmFhEqcuhFUTE+XO0/lIFU6jct4
qaKbdvT9sxNq/nnlpXhaSjRsJGNu9UHnY5MUIWw+xTe/tc7h28xP7VjoXcBa76UfHXLOWQTEIIjU
JwhY+iAUNRA26WcazH3Wijo/MK9iWbcU444TPC96DJo3Xg5fuWfaPeu5uS+moDoxA0VRj4OC9Bup
dAoHCVFX5AK7O761tcg6cIG7zWZ8yvnoxmsrg6QrVfHm0nI++TTHzSZYqA/Iync3TbjA6FZm3rXj
FKWbpp1RpfjFhbf9qPEnn2wx1TviuNURlEueURg9N41ww8yvYc97rjOcCRaz56bcnuTCLp8pl96r
1qZ7m8YWs8jcjmXcmxCer2fCDKfXsps4gTHY4D8CMn/wcJ73VnpRSvyBHJ2Bem9r6AyXSi76BIOJ
v+sKDyp3icXgWWSmZTvfLiAC7dvSNu9VOy/AL+pXd4zOtBK3AmdhkL8Xy8Nc17ECKIDvv3n2/PGr
rzlLRl/chtqLK1s0iQeVPgu89tESJzyvYXNL5vb7agEbsAmO+mpafqSdC0FVOfqdjt35v2Y48P4R
dv0rv/83kW/7zX9oEIihQ+Njoc/cyMd1/tt4EP0PgeFENgUAtdzQnv70qZBFg+4G0AXgaxCgGe1X
kQ9TA4YGRIBCWGks+LdEPsRR/mU8QDUBSvM42FqoGoCY8Df9Oh4MmFwUlrmdK0ZchKUH5ONKB9Je
BE9wy4fUzAEQs5944OSP5seshh5AnCH7sV+bR90CJ5A18bOyC7GTttzqU+tsf2azhp89uscgf0f7
1jktFEK4FvcrTkQohqF6twHnD1XjJQAl3haN03Yq9j5RZ8ZeSlWnqPqXF6cC4tUqN0xJr8xjFdkx
VZGHU86L+mdPN/6+EWBq1zE358JQ+1hKDm4Qs3WXNEK73wx2Z5zA3p7Uq5+YidgbLHukjG3Rkj4Z
ZWGamAh/fHJUUd/Y3uZPXeM0t1c6kcFywD8Qj3xRfpO142KfU6rC2gVG17MjgVHdV29WdUUdry7p
GIQOgIs86tzMRNacg2Hqn4LIhAnCKNEBKOZSpCU3fWrkag4BreWztGu7g5WY+g1Pi8qVh9L0RMP1
wI4ez6ZugNj1+obaaUiDYlFnDPrdJcLNfT9yMX9aVUTTSFL3VAhviIOW9QJaplEPTpXnia/a8kkt
UZ45cz1/4cIEKQHf8NXrQ1bHYViC7iLhGsAcUmuVegPW0LipePcxhzLfTRAjvoC/xZQTYJNOC3hf
c+aHnSqB2Fbzi6RB7sQejrs8sQ4WYSzGoal2k3F6sBJWXaZBVpmqhvkggy5KehaEewMf6TFwJNtP
6yhfNA0IT1sQehfW1OIuABU43YigJD9oUVSpzV1xLgaj3nVtwB7FUuIizhSALvdeE6CFmCWdRqeh
JOAY6xrqQtz2QjY7v/QGUIa5XoOk4fjadNQXNtVeyYLnUTn+0brz6OyJBRmR9YYo8ES6sXvUumuR
8YKOK7wc2EWxoKJeM+mHTlqVdctvxeLiU1/51v4Yu3z81gbND3eaFgW/SbTkCThK+TAyl9Xndmjb
d+je5NPsQfzNJqv86ARTuniK3BL39KotudVXdc3dhLZyk9z4VX1z5gUjYIubPOtAxw9JzUjVZOaq
21F34uOpb5kddp3th48xXMiDpUvzjpuQnFnpNPcWutGXKAfZk0UWY7jwTXMD7OPJ8NbejSVjn1jV
gn7MvbkG0Oavyx2NRg6P1C+WFzIN/Q85jr7aoV+jPpes8Hiq1NCVd2ys9EcP2EKdepBZD1WhCMR5
shbsHE6QB6B71VpAl6snIwELzwV+KOPK+J0vMeDuWlY14M5cVc33Q1Xo0ygdtqT5WvMv0CyKZxKN
k9nV0RJ0MQTPCQiyWXOQr50H6ziYZ+WcwCT5t3Wp6SJi+NP1znNM0N2JzcqutAIWNrTGT7rW6emP
5up7y6sHnl/98O6nOc59JduDBMOcDVfrfLza6DAbGrvzwZUWMQuKMj+2vYbtLlQL1QFKwrhvaR99
nYMy18+y8Nc2VW6gP5m+rB9n0kp14Y3RfRJuBj+AvWFINJlyumN1C3OdqbED6Ni79Z4PdNytgyfi
kcr3rhLVGTEC940W/KHFJzxu6xlzoerejBwvdHVuhB8EoDfdIra2vPHqvo0XElYLPMYqStfRjfbR
QiB6VGvv3PqsGJKRgriewPoAW+sDPLdSTjOeEZo/RRraYeTU6z5YWvnIxsGeZrQYaywHYed8uTLz
nnSGk6B2zaiVrD3qatDtXkrTZgIU0L6qyJzO2BpvRgCrZ9lt6PEvLD3IPXCRsW7G6FJ325o6SL3D
BwTCCuhf5w4oQ3NcRe/hJMdjL2+uZL3Q1AO1W5fih8SzzUFQ1sFnGJc/GBR0UL2TH+EnYfpDXwXs
UBnfXK6w/TwtkGN5t7zOuXbPcF/s5e/UPX7KDe6DfGI2wRUud+3izYcOvBu4yUmBHcsnoZNx6h3A
sUZKkVq3ZI/C11WiRCe7lDMtdcJMQe5sOZApZbhiXqnfjt96Y/t9yGwn/oukGMgS/yDF/PUNSH8b
t65VmD9jRvR/8KZHQlFGgng0TJzfpy0ECVFujtyRS8k1SfSnpYoYKLSZrT7Dh/ToEgKf5jfHZ3vL
gA9NJeCYgyIXL/H4t8QY+r9MW3gHGIWJhHJ8yDz/4vi4TafV0tA9Ais1NsFikdk49O6JVjN/4oRN
B2dd1xMwU/+Mz07+XTsMpIsl6qGHsoJPozE2a5t5fOuCaTx3Mlhvf+YXkOcB9T4yP8GVpZ6wlI2Z
CYd6XxAii2zQI0tF0DfPdlj9Q932zpdc+2Od/ow2SNdG0RE1Ac2ubpfgsADLuNOC5SdhFnm3kmJy
9zMfgy941af7iJvSYWkflJL+yFfZTEDopd53OalU3A/OfLrmHlYDeWRsyi4L+xXLPX4E83EgbACf
UIqjdAyYBQfE/do4oZtIZ/S+Ra7S3xci+BsWfP4CPAJYfQsvtcmGfOIpW9v6Fp0bosyg6/AENNJw
4aupT5Dk9QLsiU0/fMQTzr/kJIA6ie8TdAOFs4bP775Yjp07lz+gNc8fK5TvB3Di/mHxVZcF0tJv
IBiB4FyzE/McNMXOWwDx7Fo3ELi0OG7oSKkTF4tNuo6SW79u9I1emHeAYUCe3L7z5qRsmZenuoU9
5Hbu8nmduVdAfJuLAMqz39xGQNJfzLhWjxj6sxzQZ59sb0841or2UPedpo45hIGYwTLGSR32+NtD
PR3B/vh3nccBBg/4kMCd62rcQMaf91I4ym5BNrUvuRSv/aQAH1NaPC1ymDKNJaCLQUr2WTQ3CpdF
yJxPdes4I4S58bNlQ/QR9JZ+9iDbAeBsg2GOe9913hWT3t6vsa+vShMkwNp2QkJLk02d9+2z72qQ
o2FdQ4sABv3wM8th5QrOSkOcTCXT+nNEJQf7E+k27mrKPvdsAhDuyPEzj3IHjNYW8ei4Xb9EUhME
jvzoCQ4FfIqJR3aIi7F9RjJQIhGVa/skZwy2xz/zHmCpy4v0IUlFFKYevICu3ynhza8RPPhDGPTT
5WcCRC+VlzrVPH1B1AlbQFh6gNv96RS2FFyD9Zxs7sZLiS/j3KvZHH7mQmrZD7uqa/HlEFXv6ez1
H2E19TEN569QX1iMovhbrEHRnQR9xeMlDznSIGIWXx2n7D9mWr9QeJFrHE0rbDSK4VCBx4s6u5ud
zmbYLob9XLqUHQ30oFT3bd8ewKsN/n0nMPjFzCncx3BZg+5Sjto59FHe75rFCfN3niuHJDmw2bPb
KLhDjXbm9WaahlICBbb6CTAyq+/MGPnONvDTB28Z4Ly6zTjcOGRWz8xYzZNqwVjiA2uIjT81r2tP
7s1gexxbRXCrJ4VfFaBQ5jQvolUeFzLBkLPrUufJ5q6NCUAshmlhnABWFIHZNf44Oye/6wQWpCLq
b5E5QW6hCWryOZh63SZUMcMfZgzm3wKGH7BGFqxMBSjmOUNgyd0TV0zgqTt32uVjawxY9AZRLSQ3
eN7HHjeVnxp8Md2FFNhn7bzKDpc19Ot16OS5vA7j63UwbzCi221WL7ep3Zm3Ab68DvP1Ntd3Bu5O
Vl3HfXYd/YPrGqC2jQDjNJYD97ooWN2C4NLwRo8Ux2/w7LRG2NSjpo2r67LhtxUWjxVyNA5Xhg00
7iMksWLj8e0WQLxrBCdaMThiy3astlgDQAECEOzeQV+Ks79tPk01ADAseEmAPgbObbPtSP11XfIF
4mmAwLFJoQEHyzPvg5txW7ZK7avLvC1g+NNstcujhRUJue5o9XVfK7fVrVrc4DNGwSkZcqEgQ103
vGpb9qAqkS/TtgAiFdghRHPdCvXE8ySgzM+C697YSIUd0t3WSWQmgjTfVkwClhqqG9bOfFtAm20V
9a9bqc55F0/U1WcIoTS12/r6X6M8+f9oS/3lZXd/m4S23/uHL+WCi8aN6gOH9mEo/T4Koc4NjyUU
KQw7YYj6PWg+v8EvW08Q3KgrRQZwZjOffh+F8Po4b8OmoUqhawwEzL81CuEV3P8iPOEfhj8PlA0i
mSQAfP1X4amte4MTDwA/5PJdMLfebVuQ9R6fX+QOu9w5CqAvWzAhxNU8V+VpIsF64KQcLw7yy9k8
evNNSzWv4nregqSYC8NLyCL9ggAb3bPKm+KhaIYhXYVPjiPZ1GRa0/wTQWVaLHrHx0nSB+LZa8DT
QgSaoyCFLG7O0dJvS4lv6KMDde7k0JwlHS3Y44K7DsKFv341MkQU2Wyh6KISQ7fLOwBs8YA75xGC
m4yRN4FXPLMwGbeFz1o+lbiVS1huLluPS+5/7+APnEZDykdr+3DfyzY/dWTuEJpE4KMB/5KSnBRP
YqFtRuvGfReSTkcchNMD/LjSiatG5E/OFS72hoi98Cnkz4rW7pFv8HGxYcjI3caqBHi6Nj0mCaOR
FxIEgGcsAt3tAYkuH/1K+PNEWbOLgP0cWFmSo5zy5ThEvHybaofewPFjr7wsujvLXLtgrKv4Dc95
s4MtRnclRQy8R4o26cDOpJVayQvureA80g2XYGW3xzuK4e9Iv7/HXs4Puo+GU+mqbt94zDmAJSy2
EKhbxohIF4d20SbliP7tWkDGKam9Kmu4Nxw2CjslYExgVYGQZi4yRk4v8G3PaZi2eg5TW+IPBCs4
3gUBvhzkTZzj6kb2ho7EpAvGzNcF19h7RzTdG0H8Ha3L4Cuhy/BS8tA/92FDX2t3DE4AAdihAZMD
2b1u63jkU5dMCHfFzdDpS+H2wQ64c55O05Rnconkm5KVB8rR4kXv+L7vbDcHuxCaycWZdbBbR+Dn
yFNh8lrGwU04xsOYRgOY5ypApqZTdw2T/nul2u6pQOYyjIugHe5YVwAMXtto0x6oNjEJgLf0lerS
wfT+mzc40Ys/FOQwgLDMEMLHnVOVXRHTZekyxA/Ek6rrGYqk2ydDEFWJza1JoS4MlzWY6W6OhDgO
Veie69WdL3xDGmJ37rwsBA33TPEup52D9eH7NpR8rJtdVcO3Cq4O1rqZWcQLkRJoXeg3YanAK8D0
WnSBnGG0WWHItM8nWInOQ0vG8ZsvjJtyIPnVGUN8mHG1TLv//Gtg6/XC+fyPC3F7fYv4/3kyKMnD
iX9tAdnwhD9+7++XAK4AuAVQ9xnZmlxwyv6EE8AR45fwVimcX55HiQ/H4rdLAAVjcB7wJxGOd7lu
7wz95RJgeNs4EGO8ER71CnALfo8L/SXYJL53v/3vX0s3CMPl9FfEGKAi3j7CwF/ib4EN8tc7oJJz
g3kUaiw++6CwzgafkjF1AtN/D1sp9vniRi+9xGrn2cm5XwsF9odWD20LyEqp8BnE4WbYh1WR+AWy
e2gFwZYAlh/cz4qLoG3BuRe9Pslq6dDPwaPhjA0aRRNQ0ZG97/RY7FfbuLeF4/Knbuy6nYNsKYlV
wZo7KIc/EGguvrHKrT+3iMcmsqm986oWdqTSWQ85OLhsQAoiKyU2gOrqxW6urEJ+OSvY6B0USjAy
nHyjiqcS/7y55e43UcCvmMrgmxjxPPnbkwVINHzG4Q9h9vrgye0ZNNvTuGzPpbs9oawbhwv8WZOa
6/O7Pcn99kyj1UE8+dtzDuu1LWK9Pf1mOwe6FkkDup0NbuP7b3o7L7zt5ODbGeJejxN+PVrK7ZQR
JLJ3JToe7urt/Gm3kwhBlDuDOBa+PLgStcI1N28nFzxDZJevxxnT6KPom8C/2NIPwGgo/M8JoUE5
ae9YNLp5E6GXZ1CHga/CUto10awvk9v72OpwoobXw7Xdzlm+nbgcHNQJgQz6Wm3nsbedzHpa/a9F
a1G40dewlYCCvc/I2gYxqcLi5CFbnvZrsZyLLlRTzOpuvaE8r0F5OQHcc9456CGJYE27zcTadAjy
ct/VyttTlvuntpDFcjMVoznXfRC+aSb6b+EMEAKnmHDWnCSTAgdARlNktlL1UZVlcxyhLTy4o4WE
vminTjk8dAwaxWrueL+qXbEW/GABJCJK0wXZDA7zpSyRKa87DfQdbsSnyJnKg1mmLh0R7joQiJh3
pGceWNXZnJmU+sObHee0BsJ+AJUfWmz6PfD01gYHzSlC6aRwoL7U3qPbSXPQrO5Peo7gVDiIfMLu
sFEZ/+cfreQnIh4gy/APauP//iLXX+kv/P6fByyHqgh79CfehaNxq0j6nf4CIO6hHBCxQpiYsPX+
OGDxfh8kIXHK46VXBP+XP4dsvOcPTjBSFziPI4RC/r0U4tYn++v5SqEE4C1C+KsCFyVr+Lf89XwF
hmphLqE7CHW0U4ah1rFZrjo/jJFiyvnTmOd2vSNIcNDdOBKuoDHMwxmKoL2Mc7C+k2sxUVtT945y
HSETNTjOGfK5UdnMCvcJ5RgFGEWKbfeI/Zh+l+M6Yx8fNeGnAQcH3asmnw9Rl8931Co5JP5iNEkd
vY6npqBoH3ID20WpcPv8ux9M9IErrydwZkN+D4ESWlUBO6NMJoHWphie4XwOiaUotahrZtACQgGc
h77wxoOpcX7nnk9QsiG1fs1tK8ttpeUhYHRI76yp9JwMhZ67uJRVeytdomjsimXk0E0Rlo7RzJI3
KBUoCTpx1v5QFACpA5wcMF3psnmdzFdTNlpidGIcNA3EtoM6FrPGBRHHxGhjTPoS7RjCij2eVuEk
KhS4bYDoDTw1ZTvdsEC5XqwRssIAOA5tEFuCyoG0U8UMRZTL+2EhboH+g2n84efu8OO/5uHdXun7
/35446/Ldzl8/ftk9Nujf30h8NetdwwTkMs8LLQeyhl+gyx+Proo79wuWzygkBEj5IV/fXTxGG0L
MqwARIy3CMjvC/L/XyMZjpC/PbyoSwOTgW0beqHH8GX/Smb80Ujmuj24JbbC5wao2IBgW2BhAjeK
OEaKERRDeVjtYp6poJMTo6zMX0HdB9WyE23jf0YKfvqESg71Q+dyTOTg2D1H60WQEFRV3TRkIfXe
gA304rIM0SUmx0Z91yWOE0i7I6w9vxqbPSawOnhU4QrbysGt62YVY/bFH3tzu5bIDQJdg+zwNs0c
MQzi2lVnK3XX9zYKu0svCQB74vDmwPoZ/QolXaRM5poWwBqWRa1xCRv8qyCWYzhbStBnOWumLltN
J3b4S/oXx8I4RPuXfoscB9UdqmlhAhbgp54ZynOcuMxnxAvAdk3DCclRsGgIpRVfp74F21i6Pcj5
TtUVGEiD46N0q/FNDpF+bw2N4FIWnfdUlxx1ObYeXPBulI64QCHej1AWc7RA+XUU/Shq3dyyKqTf
vWK+KyQOwMxD4tND7MxAc8hHxGjgcVP6WizBlozw1mhNAg0kHuKoU7wInKVVthA99mfPRmK4tEXA
d+AhOX0Dr9p4KRmL0csCMZXZQLWLyA1aWt7x0yh5tvhzaQ6j73yuhdaHRV4wb0xkGPOLqeci/c8/
KfDRxEP7j5c8Bqs/XwT15/70x+/8jd66thYiDIa2ZfRIXcvBf54R8BODLSMGfMtFvyxeVfHH9Y7W
QmBd2JEY26KbcCL/OCNgNV4TaTg4aIBfDf+d/QlFTX89ImB0hug4gMnl4dfCyP8XO5HQUtBIh0eD
Krc2kZuObls0pcUoedK3SNgULGn6cnVOk4sQjpWEJh2rYeFXLpzoBK0xMk+Qkl/RJnIV8X0OqCd1
2IgmAlFC55+ReU4cRe/t5gFgj5jQiAXln65q4AkySeq57uRwQ64WQmEc+qBKyNPxuqLX5g4EEPyG
q/UgrzbEerUkos2dYFejQl5Ni8XC9g/t6hzKXrHuwjd/Y0KzIEewCJmze6dfdHso1OSmksLTP5bA
oPbT5pYMIaDLrOsLhTkgD8NPkOUdlQgi6keX10i+2WiNNQCfu/nqxIRD5Iks8EuzN57ub4OOkxRr
b6xxZWee3++rgldnN+rTsnRQKTiEeVxXq/dYryMQy9W/cyV8Qo8QsdvqoI7lVNOYmjUdKiADVSnq
xCdwJ0wepbaF+N8Br0FNkDoUEQ8v6C+Tl145L74r900A86cNyM1gLdnBvDsiEYSgnlunnodalI4v
xYEHA3DchkYxYjjBsUXzVAaHLfaIQapubI8Rn79y65yGYqriXi3As6fXKnCjs4cjw216KG91ewcO
+EzAYOMmGfdFJ4+jw3U6DGuTNoOPkxi1U2Vdzm9IhC13ZaHHY8M4eHn07uRpTmXw5dpkRkpZf6C7
pfzWE+PszLgEyWTX8Wy1Fo+VExQPXAalQMiQe85ZoOtnuaCxBTGAAq4m4BVWIoLDmjlWgFka0Gl/
dptBEKvJLm9DfZRea9jfu81Qk9bu3aJtvjguVuxomxL11KMMajLBPjDTADqvWPyDU4ErdMu6fvGq
Wp4rRw1I6UzKXPBVyftxhoAF4CqAa92wBW7MAud+t9gINi13BSr35trggarDqrnRQIHduMfdRmBe
QN9FzUMXxv0KyyPuedimS070WyiRlOC6mA+hbJ3v1mr7iBHXJrko1QW2GbAdDmzwoN1uSFA6gSQy
4JAZQYCBIo484DNoOu8Mvql9NLKyF1c1cwpVu0phg9eH3BPyKXcqWabwE53bulDDM207mQZ9OSc8
EBwhpEbT33rWAlc/rfNaboj6cI8PEdIOMCxRS4T4lYetIB6GkWXuUiOnNIfFzg3o8J3aBSVyEMXf
qkb6H5XvW31jtFezYkcGH5ciFHM0OD27U4grDxWkS3gOI97vTNlDeqSZD3Z7z+e5Pi3AktGRWkdv
0GSLhErJEry2sUqiBs15iM7QuEAs+yuakHa0ey4bAwmWLHIna0/fiaZbdjMaKnBDPpWTOYGZ3nvC
ZFVp08YbQEBoNJxAX5mb8tapWXto9BBkq2A6WdFPeqt8Zm/yUqISQZon/OTXRwQSa2RYpUZnEQB6
O2r2vS2G6KR8UR2CfHn2t5IlUsBXRITGfoQwu+/rwvYnVLhkE29v28n6z2M1FT9Azy7fp1myFOqL
SIYIpt26FOJh6FC3VJXMQ0mGs3zF6yewky8oGj30k6kyrCAqhWmOBqu+pUccn0AhWuTjOA41xGBa
lDVg6vGeV7TaJWBB1J7DEICm6ocXUvLgRcyrukHfapQt6xR8yj2n3wX+8xSdGivuC4K2sFL1DLCf
vHekZ+4Ylhr8IUWBqSFCgdzkTmkd0OYhBAZ3i1YT5wGRQmRm8KNBQHbMD2EHDhMZ6i3fJu0I5pCC
O7NMfNIR14dxdcYU9Vz+g7+00+5acdet4AaBEJL1qRpJnWECk3s6Ri5EKc/NgfYqkuh5iXY9PmZ7
H4Trzq6iPtJGOCdPz/OJtqZOSC1SgSxkZFiRFVPY4NDz/YQUNXxkbsI7EjpwMFpUpEAPiQsg97ZC
iG4qysNQV3tYz3eVFM+oPLlx8nE8r9ZrLjAx1n1JEOUzW7OAmFFQo9xIJXnNq4z5xu6Y44J5YAqx
0tXiQXdW1B0yhGcPoE2rhBfjAvoFsQQrqlf0wkQJqwb2whZ18gM8xFG7pMbJNVxOsX0UA08gIrmG
aoeyjgbwc+sMJGnHip0brcMcKzrCIbflhKBy2gUi1/EwLaOT4iNG4IXPzRHlPXV0LIs8KF8JHKi9
zdGfl4y9GLMAcWdU4QR1Uk3zcEFUkh/dcVkvYzBP3fPMnLLJikhL+F4KUyryBQvGexc9WOZJoJ/3
oyG5eQhRAfpojTDwoI3bN8mE3hf4a7WpajgzapwOKzqJkKGpLP3KK85vEEKUsW8C9h0trKJI1grP
wi1KknG3RDUY4MUbkEiNNB2OVgE8jYNetQTDSYH7EaJWDp1qgAroU1DLcdMUaxArUgeoRKsa+nmE
UqJ3clgakJwdPgcHOOXia8dmbPNOGRF099io25wOg1JSzs8z0v0HkF68jJEMQX8iKYd7otcPp66f
+iIckYta/OKbO3aBQUgbJWx7fJ74o0Sh0AFJ9w4XarmqdJmZZnHuu229i0KD7aupXLjpSsgUFWZ+
OiGH/JzPQxOcO8O6rzlqi1ARDX0Z+I2St3MAuXcNJEIsHkW1hTsVtYWDA5s9lyhl8iZ/ObjCOJ/g
xdYHJ5qK18lnwydvLZEcbtEUVVQrkkYrxBMzUfPqLgjCVsoF5MCm0OzLBu1wwTLQj8ogt710AECn
/0vemSzHjbRZ9lXqBZANB9wxtNUKQAxkkCGKFCWSG5goSpjnGU/fB6Gcq5Vtsq5Nd65+y1+KIEUG
3L/h3nP5O496lqHWrEs+nEqur240HzWouPu66vv13zAJ3Ar9S+75j0cJflt13X/cJ+PX9r+OE35/
/fdGATSEvQkFkRBKcqL/0B3ahLk42/oFjArr8z+PAdmzuFvuDkZtyaqesJDf+wTaDofdCBNCRoiG
QZn/M40CSqq/NgomrBhaBHOLuQCrom/QmD/PEvQJCrIMs2AuMdIFacNAf6jUjCzr/4obDsV51em0
7HX+b+CGg0qHTGgl7fG/ix0OPqOBQtkPgCt+RBA32wE5XZTYCWgzMU13LjPDKFBd1yDeZyDCDqMR
Tnwni6asvXCb377DH9HWB5SE1uL1RQpTOEPN/jFxkccHYA8osNXkDNPONUtXXbuTbhQHyEtr4a8L
5Hd/7hgrs4/S1oBijq/HQrmLfQt/Cyp5laFQX6OY2t5hyvpqGoNzNcLPjTxpizncXCMc6BCEwjfk
Xj2KcdfUbtoJ1BOKiTZNDw1vcY9ionuf1tARWNRmg+C+ywyInV25emEUIQ+vZPg2NdLOd3qY48Ot
gd1UfmJvVB6bioX6Lath/6bWZKnDWCBvQ76ddx/7sq6eYURDMYcuMTa7qNbgikXuxJjKMFGY76eY
dQgrk7ll3e0q2MOKjeSj5RTYeXDp6JAqoHPc2gvYb69e14iFnEFf56mY2U8wFob1oTHXpt0bTR5r
QS7LJvbpJ0LgW3Ge3hp22KfH0hqS0UsuQ+LmMjAeQLTe2fU2RmbxVrj+ehkxM0xdRx866HhtXobQ
1DkMpFXVpy3twzas1i+Da+XyK9/1l6l2ypx4uMqXKnWohoua1qVDhMUcCtuk16epcRr1KAWSeQH0
R0k4Wd5Qt83Tv2EOg4RoG3/8+JD9c4rjn8cwv77w++nKcai7rEXoO9iloABi0PF9DEN4BPttdilc
6BIoj/vHGhtjvuIB30Y3isg3QiR+P14twiNIjeBVTGk4l5m9/swee/sif96zMB7SBascZFakR7jK
2uY0fwqPKKYZpGGb+XosGsjeFMMeg4k4qCzNebRTV2IICb/kHVh4WrLE6L3FaeVt54jQ9uZIw3Sb
plqne71Q38ZE1F/X1UU4qpI5NHdKy8LKoyNxjwPCkiUuHCIbCmyiN5qhFe6ptlRr7XVzDDuvBEnw
PAOZnwJAp2G4T3IQ7ceubUtI1Mumw8uIk4ScIomtAPXTur6eK7BeqZrA3RuhI/C4x0ndBr1lq9Lj
B9l9MUS2fCvKfnjoemdAsaNl+oMb9/hjhjmKTghzStQgfVdo+w6yMMroFX65B2qT8fRk4nGHm8I6
BmGQJdubJDXW4xBKNkGqNpeHOI0hHU8Yk0mnsC3W93azYQHCYsgh4jTMWKt5gYLvdsHQLEvih8po
0vfR3Iw9WLA0+rQmZvTejCb1UoHvt71KDutdjfgJisEiqOQlkJQ3OF/9k0Ub9+z0VNadboxVgGMa
Gm9Y2Ex3ErbTxmFFSObFrr0JZOmIr7vKWpzDPEkDu39eZo9MWztjlzS9eBnYjGX7dNHcg2qn+D5q
1/nBCMvuY+h2cX9MDNj7WLc5iH1WWCvL7mSUuJWT0mQpNOjTSmbHxu5QVPS8/xyG+W51oSZ6OMvD
wwwU/CHvBM59mcHaOUVjueLquXB6V30pT1kujJA26p9gvWvSIoCzc0Er1vwA2aui0ToXxig+fMf2
No5DzgNGZ/G/w/aih2DYpNA5p/9HdK+uiD/wekvGeCA3tFqxQdamQWHwqmIH9hqfHThsc9ZEg0/Z
NAQzQ6aGTZyC2mbbo4Wluh74QK5MjR7iQcxnKIzQ3mCwd89kXZTX+YUGB8ELYyK1OpQ4aNbqVmNR
6q8XipxxIcqN+kaXw8BlFPf88ijNp36ueGiLBb10fSHTxRdK3UpO/XBFTwm9Tm4gu3RD2jVWpZ8j
s6PPyMNqwTAA/M64cPBAKd5gzXCuugslb222R0tt8LxaXTh6ianaIwcKw0UjsuyvjWvFR6Hy+nox
lDns/v+/NX7b1P2jAir4mpM/9F/0T3967ferw/rFRpy28YEpq6RgJPvb1SFJNbYdLhUhLap2/P2/
T/BJD2dhTtFOIslWNG+u6V8dQeTpCv6qDqaeKt+lmf+pq2MjDv/56uCTt/UFvI9tQAun1v/r1WES
X9DJJvHdThRnc9svGSzwJgqhqR85Imrk7v1lHZWtE4fPtG2p2lWEc5BtuyuAPuOTuiy08styC+L+
+FaVipVX3XTJ5/GyCKsZWHTX6WVBZna5Bppo25v1mc0KLbys01bRP+G0ZMW2JlbzWMohAkZ8WcE1
Fus4+kdWc6AWw8+JZcRil5RhfxMZmm37YS10tnmtCz9fpGZ2U40SUlbcYow8gKwPbzWiQ1Bq4RrB
FtwZq7MTS4Y7Y1GmM3hIKDiAV367GF9Gjdm25ujXVZpjhy4KfKVeNzCPokiFveVPI33/IVRr1h76
TGveb/c/FukOt83eiNKZHxN79ydjosFDiyBzsV+MasvRKIeOLQAxRMLHF1p/jRZ7bH3K2okfebgI
LltKkUAoDuHd0CTPEBtcFAOYAVzPKovhqMPen9ntk8zDNDYDA95YcOt30OTNdedE9AB+mRGDssuH
XBu8Ti1PHAIr1MgMUtQNHGf4O3xLZXyoq0WrA23pSUiQ9uohTKu/0UIkILSmzTOACq0xz33EgoJs
ibj2u7TUr+xtM/rEdzPdd5mxfmH7aJ5mnAorxouufI46Q9yCg+tWf+25+H1Ti8cPDaCT1Bsj13qo
tw3kzjBq+1mP3f4qgjp4imfmuAfWzvZbGuqvFf1AtWstcwrMzBJ10JDO0NC+mDYditY3r2Xi5iCf
rVTd5rbMoAfYjvmCQXmxT6C3ZAKAwxLfMjV05h5qjlserc7eQPKuSy+SlXX4kDurAcQ50Zzeb+OY
PwTDwQrJsuHNuZmsrr5z2cGJMktSeNqhxa9zyp57EgyiZQobGcUYSmPqmp4QgOiyc3Uz1q/uZROL
0Z2trLhsaKPLtlawt7W2Be6/56zl7Ptxjb57rcol+fFhy4u/H7bOL5ISGLkCHNrNPCCZM/ymhuI5
FhzDlOrMOzbU7e9qU5vT7/J/WngjScv+01mL+GEbtKBdtUmIUz9nOXA2udOfMt6YziDawNVAM8y6
VPxdUWEBmUGU3QZ1on2bBnPyW1r9j7FBxhAm7/hjvAGKSseMbzisv2hV8mi11m1ksE6Yp1uzZIoO
RoiYifzTYjZkZpVkCwR1n5cPo5jKo1b187uitA9tjHBAi3t3H8YOwDyS3XzNdF5Cg7ImtsQnlkOg
16N6DtrVucUwU+yYeMY3rhbSA5eEfaXs/mDBRZ8k27FgpGg+rmY+BgVpEyxu4niv4BugdphdmNQ9
C9x8EReU9aI3+n6Z08pXYUwCT5atZ3rg4SxxC7IOQepglM1d0emD8lNynvb2QmKZYMfx6ERlxN5T
mw6aLhhYLnwnI/a0I1s8oOG2bBgv5JO/dsvnUJhpgMJhDjhsk/2IYuqB+DDHr7QMLwMKrZOrwuJq
kvVwFdrmesCTuZEJOnUTDjXgqrFOX62comfzQoLmwX/x0hTVjJ5d0wJQAerBzlxK8nIqbxNXje91
E41VpXB5rlZV3tdE4wEIqsShUnrQS+OpSVy0mM2xW8u33q7l3iiyu8LRSIsC18TaLWo8LcGZ3XCn
egLnuMW/qYvN16ytZ381ZcfhL3mz3NSOZgurc7ISwGcpTB00yUSmlLrGtMbKPG6KGzPRhV8Nrn3L
tuzViavXONvuQESvoc7iYm1mxYvxRrEUbv16BR6Ba/Udpkow3FM2B4s+EX3RdLGnaoO1BFJjL2zt
a0CFix+WS+G3fYLJctTSvVU7X61MfEzz4mFdYctTBQPoIg0IRW3kOYnD3leLbwCiO55paV9ojq+G
fjq3tjXueD5eQJo91cbknpIJPkIak0EV9tWXdTRoBq1mOKq2rj/OffTODhvdD03zdZLxs+rNZyBn
9wVUXQ/OowaATQ5H08oIizNEDMpjelLLvAf7xci/YljfF8tyxVTyqbI7/SpNAKJGcA74qTn7XvWv
K3czxgm8jOOY6yfkOfqpHsbkrQJtvTcnER7XcRL70ZB1YKa1to/NtmJjNyS+zgZtv1oDcOWiSN+P
SePeT3bR7ZucP03KZX7mfDe27lP4iKXYV41hPFwDfAuXwBkN56YFFreHhwMsH/btlAJUjYEYbCB9
Y0PqkyjXkBkAZj9PJuO8Xnw/9WYBWkNFwaOwBTWbQci5eIXyzTY0XBxE4uImijdjkXR7PEY88BaN
SB1+SofJjRgUYUdqL84kazMpaSaDJ6Ip2kdUERY4Alsv6MY3KRZ21/m2Nc1o16VquJGgb4/lZobC
LpS+16hOWXJsZinOYtcrNgMVaTLivBTK2rubnYKsBAvb9eaxYNejB9VmvGg2TFkPDLUy2vRkm2z3
fbHhzKIkmXfOhjgrNtgZ+6F+p+CftRcSWnahokUXQtqywdI4I6YHhoDrsdlQauYGVVMbXm2QyNSQ
m2e7foOvVRuGLd2AbEuqffn33Lpcj/9w675VP75yeeXv/Q0ejQ0vxb2GyFfn+vxNxbgx5dFBCUv9
TaFk/6I2L8hGnqfncCzxx+ZBQcZGUIQKRSFmJq1F/Ex/I8Xf+hvOFIUEmcEdPhSHQJS/9Tf9Uocl
GlYiI4ziWlXGetsqklG9ZLKbGx2QyCOPTnFqpi/0F8iNbJZUDdqQfUGcR9A3Rnbr5kszeiEyuAWV
RVLjxO/GY9Wt/TOmjhFzRaceB3c0xy0YNYm8ZJzIRHIvpXjqFoIEwYzhw6QZy6G9FOtchROepCRG
zlS303Cak+3Jso3uYQCqBEqSFJIraAOoEx0ATwSVDMuRpV/xXJlqPfT4I6HKOZoVtCzw0PhlWQ0D
drHfmZhOTk3ROLuiXdgZhjWOFnOagjRWnUVknv4QiornhO0TWsU1urFEX+tBxHJ2D2CE7Fe04XtG
zAzB+kpchc5E1YB2M/1UR7EdyEECyGam4c/gg2JYx4n46sqVUR8CyJ4riX1MAM+heSL9NEG8INyH
2FIIH5qlijoUJom7U50TXpOXkbrkdNjySZOxgMXbZO7dOM7JdB5BD6DfErP2gmGFpMSW0771K/QN
5xKo6WFqbE4fUODzIY7tnb2q8qwoG/gCOaKHIUxq9/2gaVBfMARel5VyNi1k1l2v83bXggTKT4bm
Wmg0jHmE6DOZ7RKknKKvQl+TR5PMGJJUbMamQYrorNt367D6eiqGKxp9/STcLR4vgZ9nrTRIopLd
jpIAurCGMBwjTPMxpp7YjapK/Tyvjb3O+xxUtxjnsAe1nYR8LIp5PpY65QK6EdbBKKG6qrYOyUC+
y5yXzkl2YX62lMwpyGpbYxcg1nf04o92k96otcH0XkrrhIKW7Km+EDs9AWrjcYwOvkzmQ5gVhMcJ
9w4MIrLT0cHqWg/xsWqS6B3lpgTIHX808Hgf4k6+b4D/kCXLmlqpNab9LV/Y1lNuxBmbkak/hpVe
f84jpoahMYB9Jln2NXYQnOspeo6lv16GhyHtrIekDll01NbVyMwv4N+Z7azGJag2D4vY60cp7hvN
NT8Mw2reI0IfD0QmWfclWOY7syY8hmqFtjzT8/gmJ2bno8Ryn8GLGJ2jNffqdhYZEMcl/RoOodkH
hp18aN3OuJtXnUQImZoUiqH05wniVmsTleXk+FKKjpwYx4LCLadR3cJwEwE79gYreXFrRCpHqVDV
TAmkvhvy2Lgzpmw5mjp7FxDGUVFj4x9xf8IMMgnqpSgGIJ58ZRJe7iP65QfZL8YTsZ/2lzWU7gci
bRYyDRcJ6n15iYr+apD1zrFqvfJs2c1nFA05LPWxcZ611pkOUcfHYizYFbFZ2EVxd0xE94I4C5XS
/GpX3Y6wpSjQMY6+dABd9jxrAQOHx56AFnsK3wBm+cgU1p0KsbF5zpA6e53I3GAZzLuWpYW32NXT
YCc2P6C+2OG0JWzaauExtStSS1F+E1Bod2iXKtzF2niFEOca89dpJIjtBmmfEwyS4BssZ2Q9V9ez
qTs7YiLvHMe6lkn8tS6UAecuUl7ewccupi67I7a4xK7Vn7sMyV7M6OLYJs5p1MZyB4r8YenDq5pA
Yr3LP+ZLxyS8OKHeam46FyKsLlqJg6p9VjH5rFHkmF5Vi73Klp2erns9X95T4ppe0y57sS7+pJel
H8fOtyx37PuNBR/YjboORf55WhrPZAHqybXHD6dZne/qs4AE7u4hFX6wy0d77h8Y6yrfNQh562rn
YeiLlyGf9ko2K4CO9Q6z1R7O1jU5gMGQRY+pGgG3hjzqRP8phFiji6RCJYcctecno1CsASb7TbND
3hWCOpgF9h1ZLc9iSpl0RKP9oll4sOYpfhmddlZeV80VjZUzZ6fYnqJrydpwl81CO6ADDY+JauRt
xOw98lMnh3HvyD3dWvIZl0xPklSp+6Q85rtwcuW+ViFa1pDsy1SLnTPME7YjJdk6ayTW3awMZj61
ivcE0mbkIeTDLbEJ6qYZK3s3O2SYqnR9KEIIEsWo+wXm6HOYiyUwJay61T0ahUYAM6nVQZSH8a7F
4HgQnUnoSjFel+1C31FOywGQlhOEbW/cm1pJCmavDJA4Q+aC6MjSYG0m/fOSLNN9NDiq8yZWzJrP
Rmc16cpGnbhVcrg8u2WTVV2GUxFT8WctdF246BZUsNwlP0A65TtgeIGWMJEZGG6BZXOTw6KJ9vCv
Kf+2zLgfl3/nz93n9vP04xn39vLvNSC4UOyz6EgQ3rELvZBEv9eAG+oB4Qk1oC1+pYX+Nndxf2Fy
aXCDMpIRri7/KAFtRubwR1mZ4h4zxBYx9DPbUUUF+texi6M29ikKF1JYmKX/TXySGGSdW7ncYeLq
/CV0zNdBpOXjpJL2rh4696aKtkRSvGwFfZoG1I0OspvB0OkAiXe1AoJ70BrpMgtUSPVQZ23BclJs
KXMIfhfjqmHnVntAHkmiQ2EZPQ2XeLpLUp3TAQPGIAHi/2pEQOaeCJC3G6LON3QgoY9gBE0zTF9h
22j9YdxAg0O0Oi/r6NJPZ7IGRHhhEhYXPiHS3O2BX5KOebJbaoSn4IRJzwx47A5XsJHc91UWCp5p
exAkxxXsGhHw6sw9ZbRrWxkd4yEN35VuMcJB3tLAGAyFuzlv9T3y+OirGk2mtuT2ggfrx+zZrWfz
mZgQUu9jpz/z9mRYJnyjpRf3mTkEetwn7woddZqWiAnlwijOgrnreTK4Tk2nMg5jVDN2Bql1clbe
yes4rW9J66hkECZI8DyS8fgbg4D8wwAZfXycT2fZ14y9llWkzckmuRkt7Czic26u7au9dCa0TU4V
MsfCxbqrQru2tvrUuJlTw95Zs4AIZLjxXKOhX4oQnV1F+KlWLs5LpFftB9LumgIVmzPmO4eka3Fo
lRbFN13jDt+wMlCtIlTkQAwTQs2CGetitNcJThyO9TI06V4liqDtlPyK+hPuzK4KYqK13ABka3OI
hnmYjpJ+1RMkLCDWDEe7Lry+0QjVs9rBSE52q00MQcqwWaF9ilG9AnmKkkcN8wO3K9lTUHNkCHPW
g3YznMMJMhly/iJtrmURg8bm2tEtX6DsfQfwtngDbbpofrMarCRaOyVMJC705FWuts5KgLz4fUEM
C+hKe2jFYdBkwoc5cxpR+R0lQfo5Jg64DtbMVf3zbKTcpyGC+HHPNea+B5RA9uFobDmI9iUTMeyb
UTxoo+12+1q46b9Ad/LbFpAz7ccH7C5L+n8YavPa76crHTEtNJxmGmxG1XJDJH8/XeUvGIJQmGz9
NXQZ5CS/T7VJGhWC09XFdouIjyCp36fa9i8GRrjNHYSYhZk2sr+fOV4t3umvx+u2psTHiA4Gr5H6
uwmoY5KNFsT1KY+XU5jVlU/RlkhP9EBjQpaiFH04nB51KimswLY17K2i7q7iSJ+ekr4wz2aZi/e4
DI1XJxq/Tqm2tLQWi+7lfVh/W4zG2VccAPDw6UcA1z9SsbW5Z3fy1m1CLbBG8XUx9PejYCKKq2f4
bA1K7MaqWZ7wLRI337vOSzaEs+UPkarfx2MNgjBetYM7peZNZGf6TkdgsV/wscfBZEzjwYnpEUMi
lJ5KSZfv9cABI990C7i9BVM+o9BX4onD3RqTFm7X07s2I3ylW9vs1nLGW7Ic38ZOvJF0BdWqn+Vx
Ghnp6TWuELRmVKDYhnY10Fwf70yDga7JP6Zg986LlWg3q1sRZ5OVKxP0JFO+RLA9Q5rQSDcd38BJ
zHuou42iC6mt297uATiMocmkW/bUpBpDS/g/n7skAQfvuvVj296kbnyPoEVeheC1nuFfdy/l7Nhn
WReoxVGqAUDs7PfAavrHYrCwpPTl9GE20PpSwWfZLXzbOSHymDMUlDLUG0MvT7B9k6sxacdn0VNE
wyOWu2ywsK4MsmiJYdX6WxHVrQrSvBe7UuQ6TMgtwL2DjsF9dW1iUjjoQ/3CX0L1ItqB+t4od1W/
FOeKof1z2GJcboaw9zqr065navG5crrMI8oGsnKtYeUYDR01s63x245qI3BaYd9CQoWVEMfuuILt
S83HdIvHnIjxAtPBigDvTDTfxLkj3ucxKliirFJM6G0sgnzO0o9ZTKgCqYMryUJORV9J8HqYtQ1a
nb5zEDUW9rs0k0/m2iNEiSO1W7TEPluYwTB8tckjV3Z5mgttvZvT1o+imr4xRlV0Pa9GFDSENbHp
kO9q1Hyf/zWFqfxH5+ShKl6//ngyyWu/n5s4JB2F9k7XbWkzZ9yINt/PTVyQ0mbTxzoO7YNOCfr7
ucmL+APpuGwEFbZGatxfhRfuL0DC/ron/Iljk9P5b8cmw0h0bg5EWCaUwvo7+D6l5shaRtV2atq7
uG9IYutnBlJi7g7FyO7bmwvERqCv9KAzhzcxZyIoDbs8h6Iwr+zFlPvRHglSNsKlPeCvUp9qPMdn
loLFlSn5TyZX4yETOMzGEAWRV4p+xFrYZ6fe4O+0gKwbsGVj/XFF+oNS4YJDFFp/TjfAIQUE4g/m
fjpCAVxT+AyGw+ryyq5WuB8QBLS+KVW568daR1sBNRHLxYBoOMcemE3VXZHYr3mM/2rIMYU0PPfj
Md4MActmDSBxeQ4ghYOScvkmtXXEfbRZCGAX2142paVPuMznTiscuKcDXEpALSBMI452MkgArPRI
j4Hw7+K0xB1dz3qgSvd6lO6bMw6lLwna8s3NvZCr6UMo14dFFTcirAyvjNIpcBxt2bHiSwICq2t/
lVNzMoX5kYG3zpeOZ09rEz2YRiCOxRD34G9xeiJDYGhpTsuxMMf0qBn4/oo1tHAQjcw7ohAiW7Ro
2EUk6HeZ3i2T1M7NnF6nWvZuJfFdxv21U6x6QD4h/3gjnkixq0bMGnALP1aAXT8nuhPhjxEMRd26
i886uhskey4BSsrFQ8QOeQiGpahzFpBE7VYzSxzUlOWOxOPOC4m6+5qHXXeCiZ99mGeocWSQLl8M
tpw7ZDgN0wMd+d8ywAEzMdXcQXX5Mk1LSGXem0w5Z1gdneiuOtgtu6TjaGcM7l5FzdAdumhVXIkt
mmmkpPMMarNLAxkTzEbmQdYQ5GDGJ01qOfkt8HrfR6nOb6o01QOM+XsNUcgHEz3hNYRd8TibGDYD
Y7Gio1wm0GiU6ueyI2/Ha9NoMQ+aMRjvtWhhU5kz47/FUxydbIBJM3nLUZ8XYNzK/MaWjKumHmcM
u84IFKhFHTGO/SFPR2R7ycgYaTAcsprTFb2HhuXtGePSYDCLtLPH1WXd5xTGhMeyJHLNoKu76vMQ
nA0/fL/JO/QiqzOc9WFC217p4lBbS83YvppHT1qxfEMPiA5JdLymn4bhCJylvjEA4t9XtVNdWwvG
r9Jlh5yXMQ9cETXTLRLucMP6u+dwmdurJF+Ww5BQkSCfXfcgimdfNUCAplHae4dwJ5aOxpsl5cZo
rUW7qykfYb8PXEvLWlzW3sxe4ksEJYE/02ecocNb6ZrUI2SZM7FW7s2UJt3elCmcc8fsqztkykje
k6osPyQlc38vvARcMlxx3llc5J+3S/MqM6GF+pEpGOwlrm7QM0bRA7IXfE65BYmurAggD0GdkpeT
j7sxLvuTWl0nyActeteHM+IEszSu2y6WgaVsbfaGdCk/6GmbXRlsKltPzgu4aBnmeMXNYmSFiBPX
TzEzMnEjk3tQHZBCdq54nOL2ccjU/ArXocaB2yU1omEdZ4N+CQA1tyxQfUXfT4M1V01QX4JCWQaD
TW9JOeiGur4pyzo5WVv+gdkXzT2oiCnhCHblS2aNKRrOXJ2XLS9BWg0hiqWa7xvHWEpsluQTB/+e
axtp44/bnf3Xt6/t5/w//M910vO/H762bdJX7cJ9/Ts+7rfGiXf6fokzC0IeD/KEoGogJKZFW/Tb
aAn1JGp3JJIYnwSklN8vccxQ7PokvZIkkI0FI2/36y2+KYRsRU2wmaKcTezzE5f4Jif6W+tDG4Xs
n6+1dT8WX+fPuvuxVjJy03LXlhaWuzSZLaIkGpNe3enEmO6jpszyA0Muu2d6bmpvDsaU0J/1DJTo
soTq1Z6Jkg/qsscxHcfJ8kjUKKNNVq7DzeCquj8yFGJYoKy8g1KK6Jvk6aEf4Y/m+m1r64ydzDln
fRNZCwKAJL/i/q7uRDXLr+W0MmZGVWQbzGki+Zg2LVMSWzjtfhXGN91ZbobYsBjuOgMlujeVC9KU
ibEJLG/ieZO7cLSy9Nuowes8yRDiYkt0NW1Y6v/8x/42+cLOsfrW/+f/+DL/zy9VvbQJHqPLL+iP
//p/NFJ6Q/H/+OG4Kn68a99e+dvDwCedDzoOOpNnAefpHw8DZFx9M5RQmdhEO/7xMMDNZZ2Ol49B
LBMiJf4oadUvAukbD4NpM2rdBqQ/8zTwGfwvjwOjX5tvjbmCyUz3bziQYdatBE+4DyvG8MsWjjOb
ZBzZ8eh4BuFApEdH9a2EQnis9JF0x2xsiU7TjfjJDGvlh9MK+6YMjYfI1vs92YbERWcno5swDlSu
nl+FbtIEo5xqf9Rku+/jJLum0Bvu+OeVlLrD5zEtyyedu/Ia1z6hb1v82yYAPqaG2cCwtZ4rSEAQ
flCgFFtwnLZFyFGIi5O1xcpR6LZ7ZzI/isHENhyzyDczHSfyFkoHrgExrg44SN/i6rD3O8+tjNVp
MHv3dt1i7cwt4K4l6U4W9PhxG0fX5RaDx+qcRTD2NQ3KBzF5fUxgnuWQZOVoWbcjrgrnd2siAnBq
+wp6I3k5E+g0ZyM/WhsDMhrUt2ajQkbFBoiUWlztiSSGohY561l2VXywnQ2+ohheZp6QeneqS5O7
c2FxeR0ZyULJUz/iEEtZxkyE+lUW0AJQDChbLyDLprY+pOiNETuk7/WNdskWRyNVEAImcjL3MWHc
sl/LsP6KpowCFMzTfDLcAw6/l1kfib9VJCYv9A9mus8bZ3nnNq39oqzBuK4nIBkJA/TzgjI5SCdI
uGMxh9RprrzJK+Y6BQCiG/Ar5CM4ifvJahpWwn35jKMwh4+EOsnrYp1wAbRJM+DytGSJJosvEbeB
N/Lfu04t67VpOf373IiGL/pil3tJivZ+zQDAh3ZJDzKTEFFMZ4Iu5/2kqPvdLv0E2Hc46G64fO2N
UiD0iF2/a5Ozzinozc7qV1Nzk62goAwWZ2mhdbtWjfF1aUfwouOe/Vim9qmBzweNwfTvybHbmusf
H3zXSfSPOyZe/Gs3r+PBM6gE8NGhyUXn99vZx6gTOBkKe449gfl5k9X+qu2FhIR/WaFOohmg33f4
o18LAWYAAMBRaTBYlZJT62eOPjZXfz36TGassIUNVEZYBC20UH+tBNJqHLNhSq+asYQXDUjId8k2
DYQ7kWNwSce2LknZ4RaajR2L/Owsc8c32kbCJsKUgO11Ntp7vZss9sEoNyuBcKLcIrkpisIr1JDG
Y9pP7nnQOyaKaovxzlax8gxGZ0AMPFxTu2V9O3ZR3iFe6vMDsktAtTErMahdW0h4bqHM9BeCSqC/
rqCtjUuiOOpL/SU0tcf2Ejbetlvu+JZAbmP69zOYD2h+zb47ITRdr8wttdwmS5ugeb2ls6q3XPN6
Szgfsom2tepS+K5iSFKGldxWvlaKKtnZEcfEbt0S04eZTYXnmLXzxpJLOzpVUd8nl5h11E4R+Auy
1zPRtPpHMZpzt5/72ZEPS1pWbO+n8jTC/jH2ZkuSu0EJVXoKnorcEbMZbR6pmeB3kg3z5dTKeeRS
wdz4GtrLR7tcR8+FPfWxtRMT6NslQb7JzXDy4sHMg4WdZeLXUqD/11qi58MeUTJ4DMdpiLCqh+yK
BKtE3dajKe8UyJGdU0Wz76Z1/lhwM92F7lT0pOOm4okZDwGrM6PtoHAondBqkouHteY6rVrji1Ul
8pOmF4xmIBETsmdGCc1rhDr7s0lc4nGuoon4eXqRd4PM2jsWnWhalVvc23Dw3pWR5nyxJlM+wpch
Aacb5GmwzaEI1kQNH6Mk5T5tkHTf6HYsPyiFJtRrjdjxrW4yrgt3sh5YVFVMc5nykM2bLeUXcnPG
axDIlb3vYp673YyZ2PbKuK/waKKJOshKYETvC2VeWRzHH2TaMN0fhHjAgTaSqtIujQNeJR9C4z6K
23650WUXnaYojqugH8vso2G1rfBzu7cT2LAz37xeOFt8+1Bq92U2xN8qgiLSoP1f5J3XcuTG1nSf
CAoABXvbvtlk05uZGwTHEKbgbQFP/63q0UhznCJ0+f+61TkMzVDdVbVzZ67soMPQvkqbGNiKjWMX
4Xep/PK6j3L7feB3J9aynZppY0thrZJAYXEb6Zj7WitWopT8DCRjIM4j+OTKJYkZN7TkhDNoIZR6
tTXrPNr6duPJvSzz6pXPLPRiwqHXw4BBsMOmyBYgVyVG+Xq5G5ImXwjfFBn8Z7HEn+bBqJ4xGXQv
nEO6zbo18t0cd/IQW8N4Kpoi4UMZucmR/C5LEurnMM13dZSBUa7mt3mKgmfi/eKZz6nj7FUW1BG6
e28/R5GH2y6DtEWPDyD3+6GMuWEcvHGiCNxvbigJfMYd7RllIF+9ycqeEzuni3pI++495IrsV2nm
DbdwldxD7zvFvWGN3s7nm3Ib16l95iHhXLUVSd9RxtEBNay4G+l2vlVVnt1O8VAeZYasQGK//lB2
ZG4kuZo1GaXok5854+vQxc6utaiWWY31FN0zjE+srEdgMqchnT8vvVYiBHRkruzUJJhkDrT8JJl1
rdIxa1ZOkHuvdda7X0uI/bsBKCMnRKOu0cQQxYqhYNuTNBmdcXFpQ6JfYvebUg5IeKI3coXjt6Qr
2DZwAiWmd5/HGZmniN/9GuT0FK7qKHDuZTzIfmdNQf3dqDLvIwQh9L7IOd+YtIncO1lkn2HZFSPu
8HlK177lDYxQFf/apK2mq2UAlmOSSd5XZarOMobEonmRcs/fqgaAxg72Juhm8g0iNto9X2w2weWw
EKGbIOJskwF3y4aIcX8woiY8Mc5RQ+0VQJP7sbP3HXtkfm+LTOI7kdnOsM9Tc3yAqg0ha8bVcJdQ
7of1vQ5i0AcOrdZl0Jcni68F/4fKh+0YlGggmzZ1+B6VNdRG/E7DdLZmz6ZxWyDNGTAkt0a4tHd5
46T3atYLfCUGQ4D8poJqU7HH/tb3LkIkMrF13ac5TARFnNU7+ik/ksy9+c1M4lCu/v789//aZOeH
7F41gPV/P29O79+G8r9YaP740R+Pm+A36I5oGaxqSfboAe7n48b7DeHD15RHnjyhe+mG+/m40QRI
ocNEOKjpMPkFBRv+pkErrGSJingIJMHf4jwK8W+7Cj08mo7FG4rXFBnWS4j0F76AbXDig3jdNQAH
7xYzDj9bAXrNqlNBiakCkaY6ZmiCa+k6g3EmDrHcd4bIOW+p3WVLV0Atc1KabjPaVeM1gfKCCAyN
nMmKzkIP6yYr61uMwfUt5Za0s0FFOSxU01JjsjQYXwu8KsDKSx+FlwVH/2hYi/HZlIX/LJVKHt2y
qsL7xslhq9vDXJ6XEOvtOm2Hfu84c0KxCurwc8+ZIVE5ZXgQFlW768lYdI4qWI5Jl3cHvwbK5fiz
mcJ3M0Wyw7bM5cRd7uGobCf/LYM6xVbGMFu1yYgXQRWgfY0R02qv7cLKX1RN4fqaA7To9GEgzpM7
gyTxoxFPqtnNgiYQJ17OqpL5FjwAG5ooT0jr1NYm9avmBLLSepnqGFtQwg5/1U8y8A+wbo1VVU3+
o5Erv1irQKb1qU7Jfi1AGKDR2mb+aaxC+RQEZrOTZsRrMqTPtFZDvEnNyRz3oynnnS/64TU3wcfD
kCcOVDQuOE3TaG9cp09uC7Gkd7PHy3M112w5t87g58u65ctwFNy3EE3c8JWP6vQRjUP1mtKDtWFd
BRRfifmlgY5irjrSruOOtXJ2WKgBfZcNdLWtwJ5DsoxU/TmMKthaBYSBdPG8sxv77GX7zle7yjCy
G9ww/rH1relrVIrlGEaZfKHTk8xSDrLiVpZldFdm9hjtCx/06MawRUszX2E6V6kT+99Bbnsf7mKE
46Yi3cPRG4agMPO+z75O4cQdRH0NQBcSyyDLamYHZOiQCO7U56FmMG48owZSUbcBrq98rPkNpoP9
NEZjdZcFSdfuSmljYhL59MJ/PmXue88lgueWdfuGSZqVmZ8TeSn6uVsRZ1Y23BjXe670tbzWuwNn
jRgOuXec8/Rgae9wmWX4VnM7Mz5bsemfSMUKBlo50wYxqvgG4ds/pEvZkWju22uMj+oxGmS6k0Go
HlOcV9/tsGQFxcXNkxUkoLrKTVrXVrlTjXdxHupbmA91Dp9m4xZmlK1LBoD3HPrX1cwljrot64n4
GCUTYp0aY7UeQpN4l6HIf60sU8CfZBBOX6Dmlee45DzYACjzb5RnNS/KGJ21tMKPmjDTu0O/L3gJ
5J5y3acpWoYIFt0wZ9mU4hXFtJ/TrMPeHRnuW9HHlJbO6PUvnVs7r1MXOA91ktTwP2rQdUk/l7eQ
d4g7hyr1v1OGPeztaSpBUHopHLWwlf15LBrb3c9q5l9mwqi4MdwpeTczx7yTncWdXZi444wsa455
4jnXzdShehqwmxkgssi7p2NpwI8212G6DWAlr410ae7SIOzPbp8RJwBFuKwxLBvHzPcwl4ULccYA
rPKmn0P53ae2HAISlo897w7JI7P17WJNSLHDRRXyDGwYJ9otnzB5Np3MfjITUK6rTAZ1scnDJdaW
147t0uDRxekFFZ0PNi8S8ovJXTxWzqquHJWscUZ8NhaWdXHgsrrLgOZmao52UevRYOJ0In5niVpB
mCyjDBBloJz1mAyUxjEsO8Tk8vm1MQ0VrCYVClo0Avo715xl5TOOnH5g9djX0L2douierFQQOawb
+anC87eJvLnbDXUZ7bx+mchsGgD9k2gYbhsJVeo6LFrH2LI8tm5MwtnZWvZAO3edabaCpy3r0kNb
2vOnJo0cuaqASl4L5kPWo9Aq+pUNa1KcIifIRhSxORUbN4rd76aWtXstcPNHHUPgiFr7nhDYt6zI
8NnhCWr2/YyEsKEmuK845rUrz4hjuF6kd3gVzXnfbANWTcNhulj5GDoIwpo0KUP3oxqTQuuiHz/I
y2MC9C+GQE27gU5VsKza////5vl9QSPQN/7q1fPf0Na//OiPVw8OYDDUmCAAwvHEuKxpfux2/N8g
+xDiZoODt4zpByX556sH4pKJbMxjyNa6jstO5k9Jx4WJ7upOIZAWIOv/jqZj/7ux7U9Nhz2Tzogj
Hv263WkNVJHRFfsqW/ApCP6cONn0G4DXf3WKPChHR7yTNcBdHudYliKqrf3Gek+AR+OmSE3zow9Y
Qu/npTs1fs48VjVZc864gjvoQyKEXN8TjwjVmL+qjsqLY7pY+us9tc88yKMcHEGRvsaxkWaPYcf2
aA0L1ps3g54aPKsy9jmfzIUAL6Tlvq/YO4sulRuosAqET8FNB6uYYcTRc0l4GVEcPa34l8EFOVrS
16rHmcokiWLpGWfW006equnKvoxAhhqHOzw2Y0qcSA9JzAri3PEOuuc9kW8SDuz3uGauSrKu+Y5n
Le93jZ67utxU4crQ0xjMDQaz3DK8++4yrjHElIcGk4XE5jfb25yu0m+iUeyy41QPfKWe/QYHIwcu
WCZCLkq2ynpKBH7ufHX15Bj2CWYD1+6s6+oyWrp6yuxzk4HT1LPnyBCaX8bR8TKa+qaM7mnbIXc3
LLx7Aj3FenqezfVka2WYbLj0649cz72VtMvjpGfhxWyD2yCOijtbT8oLwNtVM1SgrpMRr5cxjozU
NsM1iebinjePe2h8Od5Glyl8WHwGcsthNveKVD7Ly8CuR3fa7oL94nTuNyHJSY96xHcob0fOHvv4
OyiLGNO1iu3nHERPxBYkF86+1oKBN6uA0d9Xb72WE7qLsoCxHpUBVYGrptTiAxae8QSBSx5qcCbD
Veg3ZrLOA2DHNrCoG7eJskMde5S+YQfGdBRlpVihss6vfSmDdRLM4l56RfhF8gJ0dmVd2p/HZJTf
CEIbX0CG+h8BHe8HxTt+6y5OjoVitF5rGVi3k4u+UEA/PE+dqj5NrgJLPC2QWlAZbnqVAQlgOcUv
3khFsCUYh3uC9rjp1edXRk1pb1n3cmkInnll73wml2/DvI7bAUtIWb7gBfFY1HCoJ7UJ8zrz5Hck
hJEz3s3uJs+DaxjI6cm3+uBhZCZ+pvKtzTZGAn4Fge3Eo7B+F9CubynZNUOghP1YrByMBKTZbFG9
Iq1E29G4d+q5P9OkAjnbK6qrcWmd2yRUwcFWxnJs9Et1cKhNnrxa3nT6HRvWJiksL8v9c4ZxHdef
4MXbjc156enmWqHimjECqlO+V/qdDDAVj3V9eT6P+iVNm5SzS/TrOoJm+8oufPqg3j58tfUrvLm8
xy9Pc3V5pjeGx5MdY3x6Z+VZcmvrFz2iorPrL898qV/8nn77swWed8llIKj0bDB5Mr+Zh6C+8/Xk
QBmOfALSWnwqaeJIGXCYMabLuIEQxuhRGZn/OAaNsUpgaPmHWE8pPJEZWPK4t14SPcXYJd8k2KPx
sdIzzqSnHaOx53PXp7Zx9C7jEIYcTWvUU5IVhQxMNGQzPFl6jkrheS+YlBix/jnX7l8iqU7vwMD+
m9rw8+blp3/evCyK2VXApUJHRmHgavvpqghcoaM8+gz12DVjafh58wrdYM+lqz0Pv7smf968FjsY
Oqb0WoYuPZ2y/hu2Cvpv/mObojNBiCRa9gBeq30Xv+gNta9ix8OEQ7Fdg0tWD2He4jOPaepxfZnR
Rj2usT5EFJOXKc5dAmMzXmY7bIHZV77ORrip/MSSG+cyCYKf8z68YQIVrQfF6DIz5pf5sa1jFe1N
3G939VwHt1SxM2uSzpYwVfmWT/r7DrWwukI4c1bwwdPb1F6GHYn46tW9nBfDHHF2eDQ6haulc6rb
SB8udhn7pww5nIcCFrlBH0JM0MGDrw+m2CHHGWQS3oNqee7qAyzVR5mtDzWP0/0lFhx0yeXM6/Xx
5+uDUJYRZ2Krj0d6yjkpe31o5nFj5euWUX3b9bbhrIfLCdszR90A+cO4RXzlpPRRbPvzDB+a4zk3
CvsWWrX16unDm0YpijCXdj7Qbud/DL0yvmRNJL9lLMA+m23G9EB0MvzS8365Z0CjhKOsl9fpcm8M
Y8gdUunrpCdrexD6ilHd0rxHl3vH6s2CO0iL5EDO0MszLZ0vWkQPYcp8qi/KegT7SevzCO6UTpeb
/qLCgzFkA4syXwBXQaPXcr3oZl8yDk/h41iWCz+k9X3aY71s5V9kf6fJRs1uZBtQsPS4qQKj2zAO
sSew9Mogu2wP+ssmgZy1/Z7p9YLQiwZLrxwmvXwobXfalJeNxEKjz8ei1xSBHCpscmYekOEH1MGQ
FgFJ5G4z5QsrTHYdll57lEvcfPWXzPrq5l3VD1jeK6ro22GaEcQnYzqoJGIFNE8yIhQKTiXZWNW8
pBsBvux28UJD7xx60yHnXhbzthnSKNosqjejYzFjmh1XTW0JmryEmUfv/pyM84tHw5KFEbco1dZb
ejXCsLchwyQL5MjPqZekJBessf7w5ZQe7X70aUMX8de58NKcwCfMHC+3lpMHeHag1LZts7VC7bY3
bjfgnzWnaDr0fJ6+tL3wvvhmk6av0UjPLoaG2W1ADM6o24t04huED3EXD8z8J2x7PSXKmXstxiDa
iKlQy8owbLoiROgN91U/+UcDfRtPVDKsVSkJnufJ8jELs/4WGmb4dSj7WlLyO4yfYZYl7xQNlyEP
iCC8i+shu5FcLSziZQcCiXDTNUvCpdtq9CctyjHLATMpjr6Hhr1WhcUTTtmdR68B5U7IS1X/DRtx
Hu/SKXXOqjH7T3EjPPJ7dSGAwc1hesUwaCKwoT0mF2Unz+KFnhQt+Fiwk/aOFoFqdxjLQ3jRhlot
E6Gp+Kv0oh2RA6vuEi0o/WOuNvsvr7bHSlb9/7ZI6R/+cbPBNOfqsHj8+D46JwL9z5vN+Q3iiKul
bI+XHdcY5qk/b7aAlyLOAjxLWKF+LUxCZIfByJDqU1eOFelv+QS4Lf/9ZtMjK5IZVy7ivedqpf2X
m8033DqkZ2DLJ3kCaTrJ8pCSQEFMUa8V1r8TWmH1Xk6J8RVdq7zmbzt/mdD+zwORWRB1BGT8KZfd
Jsql9dR21BxCb2gOXlK4Hx6JUpzIbmPdwlnlpPH76MprI/cUV+PMJOO5O8qn50/GIBLKP4T9uSFm
tLGj8VyNdr42gmqMNsWgUYlkKk6Z28zfyPJ0IHkXGT+kKIDBVVxFCYTypouACVSUjyZmWm0nIA8O
PmQFzMg3VXCaii6cNsh5Bh7lyo7idW/igt7BLpBwMxqPXCs4NJJiU2DRS7AoK7gOJ1pHPgmvtDIW
BCaPzCw05etAJ+m4T/vF0/bjwryL7ClSnAKlKtdma6XGJo28/qWrrKG9QsrMug0zBJxs1J7xKZAI
BqvWyv3HNsONSlQ3yp5zymWTXdDlpPKjpQ9XZdlZw86wF/t+bmJysTJmGbLFgKGSXWkocmkBpqan
XkQVRqnK9U5tNPh0HthFibKdRVN6jh3p01wHz/27N3T9ExPszkilopUxzx5yI7XzL3Pia6qav5hP
4xyVt76xOP26qvv+CTJbiRPAt4ptJSd11xA1umLHoUuailDM27ZyjH0pneVaTV14Mxoek77TIJ9j
JLutcCf024QuesgrRjJ898K0EzeR2ZYf46C6h4RnUbhWJOPlfgzz0SH0BNaYYFPruqP5nRocbPNG
IGwOMsJ0yy7w2bUCKLCaTJ2XpZ79667orGwHtCZBu7MpylgXrqwX1OrOw5bHfrq9aUTWLvwdeOhh
OS9mtYplFsab0qIQZtVb+UKMOSGNUp2KKBgUwOgFMAwL2WreJEpF3ZGCWrc7jjgchm2tuYrPgTmx
yh/H5skltW0dy7QwXzt/EtU7O3LprcMxsZpN0Hjug4MsQEdew6vMxoRwMzamBl9CN5kgOxAIMCSg
UzuPhbtCcmRP1RjKtK+zolMHRfbtBk+Jf8QS6++p1Ur2E/LhW0fzTEc76JC/GXMk32Qc1rfT1MuX
UCIq78qctMJ6kpkmabFPcY0aBUPi/ACyCu001WujlGgf/h4LW0ULFa5JaJ7BGrDpo0RhE7GZP9c0
BXlb1QVYDfp4TrpNHffuJkzIDypqfXClQWt5ZOq2rnhRiG8D9cS3KZ4Pmx0vFrqaz/K3NqLAib80
qWp+bUmU7rzFTkC6RqKK2aHLeUO4dFj7M6cmLLjGhDrmF96RdZt7NbIIjzGseM5eOlH6llb0LV2F
YqDHcXTN7mF2KlhsglV0SDtJYtxOfl59/8dcanqR+r9l0tvyLwhb+kd/XmlY2xjHmMko5QCpxkj2
Y1hzfuOuwtpmehaDF7fXn65ffPOuSf434KZjbwt++A+Z1P2N3SwCKm5h7g0SxH/rSvsPzy/22ABT
MufnDyn3Xy80o3OkkizRhr7Pr1qRqYOIoUonFmDHDcEP04USM/KK++U3dfcDmvkv3e0Xpv2Pf66L
kIk7s4xm3mTRjI+fzTnBgF9v0tINrNYScOPIwKHjsfn5MBPHS895xrh1Q9cFvWJFFLf3s9ekcl0y
GdCpkEtKcmOHLU0be48t4ctXosNVQuSnnF/sDoYh/Wxm9s46p0diraxk2iTVWH4D9Dstm5Qu0mhF
MArojRF0/WbwZIjtYp44NXs4wsOxT8f6FPQvrhxNm072Zk7YTzH0XPes+bpVnEBs2XpuVb4aKFEf
wcQiZ4MF681B7dsLwrvVKp4dUEfWaKIpFzG1RJvEgsewqmEh9DwBFq9ZA+aidpHvIKt4mjw8zLYN
1GOvqrHITvwCXvD0qQc7GWa1SRYqDlfsGI0Fb/ZSzZBG4VqiM7YBbu144Ns/W5/4iXGVL4vDfTwH
12Bzm0OdsMqpC1+emjF1qrUcrfR1Hqz5zhlq/80AUPOFvRgTqcBube+8MW7TvTvY1t4304GdZgOO
zEhUI1cROBgkoQ7RNAxq526BNYkpzO1LtbKzLq/X5hDljx02tn4DG8qvB37fXaMM9prsqwp0YWkE
B6NLE3GYeGhUZygYTboaZ8swd8St1yotZLnlskwX6qbS4XESGWYZzIMx3UsiyJ5SEP/9FgQ8G0qy
kfgUSG6JVe4v7XUEOFLDFryUhXGUyGydmi6laiKpfbGl5D0a99i9nS9pVVhHw7dGXWG5mM4K85tv
rcynoPKbECaYI3lAdMgWzaX3IGjMAjpkP/aIsSIKoh1mLVKIXPXOJ1p84IPyQKNJAX2cVoWWmNl8
TUMJm3F7FkeN0zs4ly6GvBxCARVDdzRAX6u/D/Q2GEsDUjS0JG0OxBRBbDTM9zdJZ9H3IC/dDxMt
EF5GHcQUzMEzrDRuYxOkE8aCMn3IqcY7dqrL5e2g+LrjMQcW9qjwCWX8OXwDHvSihvz4zznfmSH+
9/l++v7ly/8GPAh+9ucBb3lsrTRnmO4OVlg/z3dBTBm0gq6BRhKCYcjh++fIYpPlIDvMOWfi8uHo
/ynGmb+BjMetYwmXCwCl7++IcUIXVP8acmL6IZzMHwtCvAmQMdBi3S8jC3WorguvexOx3aWwlIxe
vU4bo/w6dpP7hBeQCtfCGuOrIWy8LXuSlFTwyEZr5fHqvQUZIK7yvhtfislU/EM8lPGdpYDY3HgR
wOF9TArQWSfLUn74hDlS3j8Z2oCyKyfd9Bhr7pcxEN9ZscRXyjRSDTTpvRv6OdIDGFJxTgA4rE05
DXfMR+I5lkt/Ni0VXnOovEh0OtbCoCd0e3IPoI9e+Sasi689ltavUTL6O57pah+LHmKKja/5ymqz
yF+L1DOoVV9E/ypp+6GKE6o9m4iqLsFiFfxvfOXUbTCCBlgPsxMeiwVePKTZkTYi2EF0As04AxT2
Ru8qAtF1pFK9i/dOQZ/eSlFRfUb1hsiaNMS3VqIxJJkMc24fB4lP4GzQ6fQOsbS4FU1lP7flYsMU
TxtotrRgE/nuvOvSjb1r8EoRpOEYq9JCW9BWm8VvHPZl707uYHyM+Gemv2C2GJuosp7sUtuvE9pf
SX7I3mpZJfbyJp1pHrE6tjnX6dDM13aIQQHjRHoYjZR9In+e7nPkd0G5hpsNrMeRMnm22yBZ1izN
0I3MhA3QxipLsZ9Ni+iJ4+RlviazjbeirXE/961NrSboB/o58aFX/fVQ1Mt1WvvOg+8Xydtsmh0k
GjRFLou2md+ZV6gMo9rFXFezRd+ugpcBvrFx4gC/rYopWS3rbcNB/wpVWFV7U8WufEyKsGLvGC8O
bqlw6tdE3JZsYw/AOTdj4kiMHoL3AtcQqymExI7DM8m9TdrMXrbu/BqvtSitZ3r4OvoBq6h4wikc
aIs1PKfQLzEBQZclB+2q+jRU0bhzqoHGbL8tumdIEzAuUksuazzl4YdYuuGGGy67pZ6FFO5o2ZiC
qO1yu61VQC+aCddUuFsIq1ADLA6snPJ1XgpK85zK/hyPjOwNcPtPSo/xMV0hRzBo7snRQz6ET+qt
9OCfZi0awIyJ9AO+KCRqLRHQ/WY+iaxiKu60hDDEiuZGLSuwHpi/+C2x+Kyeo69c1OU7zuboVGlJ
wqtHCFeIFCpSo7tV+nUvaXC/dS5P/uXy/J/0JFCHXOyAkPSAINsuewOa4uyHywCR61liqUbvOHuO
1RyN3o3szSJaPQLX9UZBIOZBRA90vlpYV6e7OAf4sWJ+Ynhp9BwTR0w0HsObDZLRX24dPfFwV1pX
Vu04j2HK4ncV6dnImmYXJvqY6p56PTz53eJtISxmsJwu41Xr5QJvLDOX3w6wry+DGIsmhrLoMqCZ
dPQwrFWhXj0rJ7lVepqrLoNddBnylJ73cj35xQszYGH5+RsukqBbKT0j4vVM9vM8+/vaTYMjQkt5
o0tnDlRQM2DOl2FTXAZP8zKETk7EQEpHCLOpnlLtTsw3xeIzugo9xZKP8B6iy2jrdUPmrUGyMPLy
DDRfvcsg3CZZ8xTq6bi5DMrTZWjGOm8mK2twnGLF+22IP9eiWJYbleFM4/1oxNVhiH1IAg7tDRtQ
10v6NWutLgXXGQvn20CbZH4Vy3GWdwS+AiSoweOw5AEHMi2qqVpam7Na/ENOlRoAWXORfGqpvWGH
URAJO4FrBKjWmYud7uPGJ3pGkaurngOSesykrjuR5E7GBKKLHfXuPcCE/AokdnOlIoPziKRD5tAX
njjlrrPK1witydxWjjQNmNlIMlu7FqCtJAp1z9fSsNyv9FdnX2SvoEBSqnZuxmyg3MIa4FpDpLWu
AFNaxQprhefy7rda8yaPhqIEDhTygci7OAjXpEOsuwxrE3Asu4AdWqMwk1HMaS9NG9cDOcZDddUu
rpXdWl0ROitBxEaug1F137wxtHtaKFR3X+W1ExzaKqKUuwTLhQstr60rGJFigTtB3gQxvRVvde2W
EB640GD11i5BPpbk1T9o+ckI+xePrSr+i7cWP/rjrUUdJl5pjb3iPc0LSZt+fgzTLjxCxmgaIshj
sxXVdp/fH1vBb4jCSLa8tRzL9EiV//HYoqkH9hUILm249hlq/9ZjCwX4Xx9bkBIdkDT8ESBpQYbx
/00fbqKFrGtHDCnoB/dlGiZ7n9W0WBexZ/Tbys+i8cgOaLnJw76ZVixa5pNtqGRjkrG4ykdfHXlP
At6nVxy+vsimWyIt8bFolbexR6v60nDU7GsKZ8FPNPybDA7JYdVIs6p3JtdIitUia+/c2au2cKOq
vVUbHWQIw8lunGqhktqlZHzeMG4t9Et6XeCvrFg0X6pCU7PZDj+1C+wr8rnVvpv8yb0Kc6M5to09
vnZZm0AEaafgFEw9gOOxqGCIOhmS/bZLLeshDVp32OI0SSS355S7YAgT54Vto6nzP4E8G90yxo/M
vLFz9svUxdybSDfaGFMzqR1g2LjaC8/Or8wLwS5MnLneBHYdZ++mMwO5iiBNG1Sqq7yx9uWFhQey
QADvFbpVSMPyDODkFMJcGHoU5gDhsngxfdP12bf0DMPbcy/svZjUKkDhoU0CFrPZeBb14gDMcJV9
BVnE2xcQBu8IG9vr1MGpVERgt+kln8c7Kar0lHGMQ+lf1NkgFAv5yHcPU2ZOx2Cu3G/QErMD/Kzx
3loEEkbXlia4kDHZysA8JM4w7CVUMgNNP4naA5I/Bxm8VmttRHJ+4P0R8I5BR6zXreVVN7lXGeJN
Bkb0ibMxbnes8yIfq1YOPKPs+RuRUBspcvMTFNn14CkCSXYjujUF60txSqbZ+EIQrf+0ZGXGfVvn
8maGmrNSqV20V2R264UiIBZhKxAhQXsylsq8awh1JvcmG+dTZAj6k6Qn4+KGeBPtpTLvc40XnqlB
soVQXyc8OVvQZCbMjri27q20YRXADpRNczwX/gffx/xRPzdO8JJcPrplZ5RbNnXlLiNGCIbHI0x+
ZM7v2IUYY/CemMX0KcN3jpaZuhlbE8eAhmP69ykK0g1g6uGGncJyiloASRYUufqmzWf50IsGM5Hs
RfrRCTl+62O3vu+Wiv0nzn3yCJ21PPAJFqdwovDAnErA1JaRkHYXLYmZwQnXTeRUu6Zp6CpxGpMD
36XxExvjbdrVxoEJiVfzVOTXhWMqnkJW+l0VoNW0RZx/SzZEj2YlPo+NMLrdhD4VbexWc8lNjShn
Ipi+QDanZXa+MMytC8/c1WhzGkobtZZd3121Zh8CQGNDwhhSDyfapGCj9xqT3ju9zX9fDU/Hcrk1
pkHtxwtZnXR8uHeEis/sPyGvF4GmsE8ayJ7JrEAkGDWnPdfI9ugHvb3vnTfYT0m4j0IRXWFXCbdN
OBot9HMr6x8zjYKPL1B4kNVvi9l5C3wKTY0PNEC+0ih5X+T5PyA+jfvFDn203r+48yYIvf9JQvvj
J3/KCzh8XMJAns3KznXRA36/8mzgKqSHMPTY1HPYwCX+uPKIR6M2kwSyNHKdtgZuw9/1hYBwke9R
GeewNIULhkXo75h9fO7if9UXHP5cLF8DstvYEx19Jf6iL6gaGoBKyk06VP3noG36aOUa01MGSOsZ
53d25bp9+0b+FGnVIycAWSwje7wCBlQ/+2abP1aL7X1ElxPCvpwW6HzWvaLbiyWJPk6EPliSyxkT
gvsad24kvWZjUqusz6GRhIJMg/lUX06qSB9ayBOcX9PlLPMv59p0OeOUPu5CffCVpuAMtEFyf9JV
mV/nBRPJqR8zB5x43YRw+F1XRPvJTnNjLeyoo5COVtKTmbrov0leqg/lqOpBzCJlq6n9LGZtleKQ
JX7+nHOY0JTkd/0nPwqglhlFPW+iTkT3sPmBY07mHFs7yxHAMXCEMLH0lqneAeaQeQJirNYDPh5Y
Dl4kTqPrNSaoM8NlEPDawj0WQtrdeWEp5K+Dmsf8oGqHJiS/HHeSDRslncTgl/Xk1HDEUz5Jb0Mw
uOizHK8PiW+nZ9+Ixi99uajqOlYCsiEC6Pi1nA3QhoRFRXwElC+WK1bHlXoQrjGkjwbgkJLDLqdt
sE/mAqxDEOKN8Itz1g3eW0l9Eaeg7V73kmEvb/nPwqw5fQHfDzvDAOx0jf+koRcqWaZdFuf1Azia
fr94PaDcqq3QyJcFmLmB8CtjFrL+0Jlihf6i7u2xy3aW2YlPQV6Zxw5qJazfKdsJmqmxIJsZ2+kx
trbRKNNzipjy5gR1ezJrs/nSYd4+ewVNT5Pi1wklJJmOyTTGmi7lZsdlaIXajURKqKQq05LXTSXG
etfTgbObG1k8t848TBsk9eRuYo2KnTk0CMIFcz4Fuy4tGjId2G/WPr8lqjswjCgwkj5vKxMdndWi
mX7MbF0PQSNoPpWsOp/sajTmc+8PZOmsIBc8L5Ysb/Zm40feBkOmX2ynVKRP47gYBgSUki4H/sck
u/FqDQeTRGm2kc9FV6ck8lBvlPHQ2YHaEfRLedYU9be+MIsD2J/h2Eb0j+JXX/6PvDNritv81v1X
2bXvRWkeLvau+qsHupmxwTa+UWHAmudZn/78XjU4YBvHSafO4VQ6F3GCabXU0vuu9axncHHZkFf4
g+lry4G4hIlnuMSmwVv3kd196EqwP6xc9EMrxYO9xz9lSTjSeGN1jbeOEHhtBzzZM7cs6Yg0chFP
ASa46XrG/z1mxFj2B9r1lMrOw1hH1lrFOI+xdxuflaPqLWszq+/YzOWjohqDr5lpT0svk4y1Auv5
VOv1TyUltAlNwvCQsRidGHSa5qe+8gk1KzqgxyOAAVVeSkOsPxRWFR8bcFAubULGNTeS8hJr5SHN
2tMpbqfp3rDN2LuqB27IdVyEmuOOjLjyFbB4idkANgH2yrMN/qw5hZkty8IsKlftWHVPfU8xP/lB
NlnnkjdOzC2qNr81zRL+c1+FyV3bFvFxkcvxsemZvnKcaEMUr7q0d4jwgKGhLZh0KNq2KUkEI4J8
rPR+MTLL0Y7JaTSad3EcTUd4MQxuKEleeJRb4IqHiIrabOl7TrQmh0TdZq1M1laUSZ8MRtWn+Ef3
1xSyEBjgcGHQZ+QSWhnSfdOzQmVovDJ4dNOlGur6WdCozBHaWOmPUfejny+GvujRAtCa0zJbY7hM
hEcsQRwGcQxIvO9q8iO85b9nWvDLzfws9B+qHzfzJ+4uv/vUwQq9r05pQB1qk6fxbTvXDvClFNxd
kWNoaRiR/LGdY2vKGBjrKBP6k+D1PtvOEQswCeYfjT8Je/y/sJ3rMh/s5XaOAke2ZINqg38hP365
nXcj9FUJn/nBkOlTmkE+Hbw2iheG6GN8uyVfaO5tCDrZauxHG3+i8/ErbzjLGgZ+keiL/NrpLlJs
nvNVJPomXXRQxJl2F53oqkwe3CNj7MHnEkkf7fHUmX3KRmFZJpVliMShrLKWwSbqATRlU6NTSBRC
albNqrNaCNCyWYtmK0WtYXrpJNgrRhZ6NTs0lVNvVrFVs6ItUY0W9SEn7RpC8pamrbdmMO0xxa3r
Jbt9fDOQxoTMti7ai3BMxjsYwwMTNEcKzvPKSq8VZGsIaPDWxBp4Vt7JswgvVlDOzso8GVqqvhg7
HcuKWbvXm0lwq8JR6pbhLO7TERuSbthcNF1iVUsJ83xgvTC86IRG0PLUQlkEOBRsfLxs36WznDCe
pYW2HSAzRIGiXtkRj6hIJgm206xLbGaNoqoQ1Oj2QroowXekphCCRr5k8ySepY6WL3nbbhZAwrOz
L/WU1BsCwjvjUJoFkzhMNfqy6UfzchrpydxqllcaGmzPsY0gy5aWbz90SLW/RIxvb8nUHU/LXidK
iopOMQ4H36QkYc1EBdgxLF1WZt4HC2fWffpFXGOAJSShsGL0d3DJtI+TUIx6qGLyJTaW5ifm9WLK
IdSlVWzkzrqdlaeEngsz2VmRmqhjcJvxYTcKo6oPkpCv+sFAzZKo0KgXmJNL6bYdPEbFRdIfRhHp
ua4KMqyDyzGmSEdpPDHRxDQn7B2jRsrOMBC/0qsFaZBeb17qaJcSAojMFMPxQU7zTUNP1y8QKTMq
MQUTdyXNc5SolurP/Txdsfoib5dwURm/YO+tHjKFiE8TI5ZJGXYccg1bhUBMt59HOLUScKLgnO0q
66xmraMjvZXE3EcWE6C0rc0eqitzIQjOJtmWzIrieWzkiQmSFqTqB11MlTzdSM8jla+j7dvKPuv7
tHo/lSWjKAWahAlzQYyoGHpJoEzz/MpLY2I156kW1AImXBJDK5h2zaAVrjWPw8amHMl/4focArhB
kzDFGE2dJ2qQyJmuKWLQ5o/coy4BVaRUpTjOYCKU3VViOJfI5XRHVYCdSOjYVJJ5TjUfiNEeEwwN
1WnCgyYGf2FlqGemQoq5L8aCDoK5ZoFMHHeQWknrCjZDrYVLax4q4tPIgNEXs0bJFGPHklkHCfeh
NPmncLwYTWbzmBLlewejq9COTLDYc3UeaNZWxHCzEXPOFHvTYM1qYVyFRZ/dMSZgLmqTMl1t4hm9
9fHc6ZfAF1CMFQHwdjPW28+4byYg4CiLtYiQH4EMIzUz7I092fVliRKuOWbMgjtzrjcjzxfU7Ohc
swtUZ8A56lJh7QEZm3HpeMaoIwFXQ0O3nIWH2h5wb0a00U4U8qk9I93tjHrDWpSPuhkLd7BnwYUE
//47i4qoI3is98HQgUZMeeUzxIW4OQPtXupngO4jyyABEhajJkiIiJUy5T0QYfheTRDYu0naPeDq
GJLKluf1lYqb6qVqlyn6dZt+YVGCN/pH3PxxuxhlJjQLgqvL5hybIjk5ThDf4/UaGhsFc9WP9uBZ
nx1I0866ikl6XiTiSAulhW2H/jNepLLhb8a55gZWi7b+XIkjSOu3CCmpzwUbdtmIot1mKPaFy1cd
B6KkT7U2PLPnOp8rHeGFWcUrJozROlbk7sTuennLFFK7UUS7oE79cAmTkx7C1pPwTDLVhpaTFkOb
u40so2sYRQvSYf/0rhVtCRktdChWJRsnaKTpW2RMn74YQzId16KtUTxCaFPR6kCeMT8lov3pRSMk
F21Jau/cJKlzw5TNzRMO9jRSytxUsf6wWEktvZbUi7aLYSotmCm6MZ/rfMZzXrxr5maNPs35hBkf
4oARyj7yUUntk0Ola7s10xwaPkv0fuPcBiZzS5jM7aE5t4rt3DY6ooNsybodMG+gr4RTRotZi26z
mRtPHFppQru5IXXm5hStqncpzy2rOXevoo+N55Y2FN2tjVe0tpFSet4IgUZCm0kn3ATa8BXvKtpj
PA2nY3VumvvCo4HGABgDQ/4IVmnOuKXuj0p6HM+gZinwTWQlQJ3WDHt6AgGNZzAUHQNFyAyRRjNc
6gvkNAJC/deUpsLP7nWc6bxus1crU/Gru8rUOJApQGHYCzMaTbUU6s/dbEXnJ+gp0XPhc6PPlMM/
ZivC/x7yCxgUtQSQyLfK1DyAvWLxfkTNzoT9v0RUhDfzfWWKTSAIGERWCJPUyaJyfQY0sacmnoYL
W20O5mXjxaRv6BG8NKv1Nk08eSs/qQknbC3LDZiSYiPnqycEV0dEPkQYRAzqGawObKehJSzK1qgv
NeSQodugWHHMBeDRurhXJAa5pTmojO+I6rlFkUb2XuAja+wG9b2eyp8xXNEXDQFNoM8lbjZMo/HI
108TalXXHBVlqfc4ZkM2sZdBSbk4ST1ZuDA0zrLELhdw95UV8cWBiw3Z9E4izfOCB7I4p5Ffl4r0
kOKGfdRBfoEJERQfvJEOzYvwxlngsuEvZMu/smtjpU7BtPUykqCqCBcRsilL1zfozqdJcVZZHqyi
nnZeOBvC/pfqjZoo4VElEjOGsiU4b47RiEWiBl5e2nU4x2wUc+SGU5G+0YocDkUkcvQim6MUKR26
WaQpTXoDu9Fx8s9oyaQj0wxal3gWe5lXRn2jDVoKqYcEkAQ9H/o/GAsT8SAUjeXhpGlHnVONCyfM
yBDxavlQyyda1SSvjaWPQ99pW/TVSTxWSux2WamvDAZLbhUa3Y1cKuGWeax8NIHPbFVr+gw7k2bW
86r+2BFfc6yQ8ogyoLwKe/20CNJLr++lVebn8WGDPHwxaB3HgYxDFnmvPDDWcpbwrcnhtlXlY5sy
dTAL0qdkb1JPPI/wcqtS6mUATeJ4yNXkxNTHblNg9bUKcVX6iALYgJVhy4co2q+ssCfeoLavIPOk
Gz+u32UY3C+mxK7OOXKJeePkL5uhp9Kf+3oWvbPaoXRvUfh/1n20gCX55JXSfx4qXzmcsjY8Lcze
+2CNinaZDL58oumSQqhh1mxMmBLulBb6hicRJXpnWeuppX2b7KFinoL93oRdtKtI0W07ZMy7Pam4
98sgx0GdXnOhFNyMPY4qx1Jvep8i4hqbTB6+WmVdHsXo0hYjBi9biVL/gggwYzPmQ73A2V71XR7S
ZoWATn4/J8XEdjWeEViYH2OF2WCkjfSPXDcCEBiug7GlweRaclMujAI6aRIA09lmKR3h1pu8Z6w6
XCF1qZZ5rxP/HiTGAyL95F1U95dhHwxwwzprIZHJ7uaD/x6HyY9YT2lnfj+278hiMNkxLfvQMzA4
qJ0cR1qvIh/TtHrnlDq5XzaYV68xMUDENSb5YUeHssgsldxXQ8KDLZxu8iGcDiNT6xdmErKw+Kl0
LWeKfhGPgCutQ+1Y4SG6rHp4cFlXfYrIsDnE9XREj4Kx5FR1E9So6T6227XW8daO5X0msY4MS4Hb
YjvkEsqYcjCTLg1SGpqAIFhITV9fWWOSoRvkNnQUDI86Y8o2QHKQl/FQWXXYDpKfpPqLeMRSNOmm
cDtA0zqD+FovQyMf3QnvB3ckKWcZD/693lt3SC7kTQvVZZupU7y0EouwAFM5IZ70a0YyhpsNdM5y
HL+vpTFYZoX0lSiCM0cuO5KLVB9OXa90ixxtlTvE0tXAl7k0zdZYW7ne3nuG7V0ocSmylOVsKWv9
8USuepEoGXRmzV/XyDCB0qd0IassXlkaH4flJKsUPN24QKlUb6J8VJc9nkhwmlqFnjNPpdNegO/m
WF3kSfWxFYEJeCfgqcEvNU5yDPQ6HlUZklPGBCtk84TchpP/NxzN//9ztLNAjn4tWhh/IsND8737
vV0hoB8YKBUcBzRKk+GOmgyPdoUA5i0Y1sFyACJCjqcocF0fSRbOAVR+DaEdk6Wd9PxbIWBhggc+
RSHA7zkoHv5aISAciL+DqLBCF+QKYSHzI6M1J5TCqNR4oZdOfDrhk4BZloqBFH5giXkJids7skZQ
5UVcAjybchN+dcokXUp0YevGUIn9Y/iEDwK7Yx32FdFnFoJQT/FOrJYURRcYvZmWQ2/xkIGaVnim
IXB0FWwvNpNt11dG6KdfHfEoZ+Kh1rIq+ajHWrrBaxZXo9DRoyOlwWUs7nw2dziU6UI3iumwsL1s
7ci+tYrEIqSJ5SivAfzo98Ry1YiVK4st/ZwBPPhTgx/8ddWUiMklu/0SsxjGdeV7pHazSiIUxo3U
HqP0vdxL3UyLrBElMRz76pdyztxDHc9iK44sFwmCN62iqCJiJvIcgAjdHJtiGU62ucBKjw3ByaCY
LooS1063cNT8hngafWOQVIkWTew7WRLol7QM3ofOdNg/A7vFR3WGqqMZtq4Fgo1EYzpCwAesPc0Q
tzPD3e0O+2YRAQjPVfqHxVQWnhAJj3G8KtMuVOhS9BhzYND0vJriu9IcQXQGgbb72Elom7Tza2Tj
MypfzQi9PqP1DMRB7ouhtFi3yQKKXPDNglFjWKuOa9SRLBPRE2r9dK+QEN6eSnFXYPI8DwtMMTfA
SCA+lqQkIzMmyB3nSC+UyP9o5JqabMaUIFxzbBtzaeAOi4NqNFD/DPp4XOZ1cpNbUFf60s6XZiYn
D2PRd9uoz5RjDVrpggzzS80GkiOzpDiaJjv+ZPHUbZUIAMA1qla9aclvMtal32N5IgEBsj126gpN
vk+2ZOcNK55G/15JYuRneqwc9a2Rw78NxvhQ732SUeqAhnYM4PtMYxfiFt0W2yF0FIoOI3/ojMYO
sFRr1FOGIc7GsfP+QmEYso0LPkjXVtYCkUmw6eOmW41+o2FHOkTUUZ66Ldi+4ZcMln2Tad1lH0qn
7PxV5E6FxRhzItwYB9yNJI+wRAdqkp68zhHJ4fkY9NUyM4tN1CfSecIW5vfSLdAd864xOoQEr3yg
Br7McTjKFqmpXgeabsG+kKuVjDT0Ku6IONLInMBNwmckqDEHHONgZUhhN6xHc7pBQwzYmNX3uj+o
X6Sm2cyfSsqoOBBchfi3jsa6dwb42XHxQfyFoOkvI0m5qcMWireWkGfIGrf2MOffepUeHVqMe456
LTsh/7p6V1o1uUaMvteKPcpLtSwvuyDXqKlI43RZQk+x85ncJInPjDw+S9QyWOdhd59puM55ua5t
MX09a0OqQ9cgOkeHbrwwpp6KoKSiIyI7ScgnDbtjW+HhV0ooXHB27VujSpWbjIH6JU8GlMRUHRYD
jOA2kQmqNhv1wSynadWDx79rCpndOgq88xzm8AZzhfeKUXsbRO/2knX8Yx1P0aViDuSJjPIHBMOn
hjxsLPEGPpnOQK7kPOYEp4PV+9qHKiss7vLMFf/RRNnZoPbRUYZGcdHBs1+l9GgbLShLZp3QzzIl
tgGi9BupcQTzHwA4sLx7fJu5cdrkrBH5p7rkJcf4Y43XSGEsMmvhhetknMAnki+xfArJQpT9daRY
96Nw2NHCULtKy1Z6hxA5gfhd412tWTdZjdz0EEUtX5+h+Xj9e+WmS/BRJN7hs1k69GNwCxYpU2mQ
K/8s6vSLCBTnkDGvCqV8FGoj4XTgGROJ4kNXrioSFPFo/IwrAenj0HGqKRh0xtVEToa1US+huVFc
6tLlqCT9pk37AfuNPrjSUrV1VdS8RxnZLpnLCqkALmYWxbdBfrdTdwiz+OoTvYqzfw8bFCH+LxCL
z7fp159yYx7HaeK3n8Zp8C0NZmIawIT2fJwm0lVli0GbqhiMOeDPfKtVyBUAYdWhWRE0BHf+WaYK
xBnwDfSaMDiR+uNg81fGaXyW72sVk2QDFJYy/joq1NXvxmlNFdeITor1CDSOqjwy8eFUu9zucKfB
nrM3sbl2VcE0c6H04eAZ4Ih4RIjZcGsjEm9JYoPkaXgmtreap2JzGSo38ewKKmQoR93sFepVTgcV
GgHgQ4z84T0BIpDwuY+p7LEaBe8jlFCTrU0pjEjtzhgxpxX2pEHlWMd2ZusXDo6N/jJQo3ztEVMX
bhxhbxo4raov+lqJcT0VthmZMNCA4q2rAttAXeyg27iJhNlGOftupDhwMMlkEWts2cKNbvbooI3H
r8OZrTtijCzBM9JlRIlXrzxh8hGqwu8D6Zu89mOYqghMvAvbwxR4oRdheMsgvPvczM4hRhp7d9jO
lfc+HeXXJsOBTpGTduEbwnakwYBEF1YkPibE2kKfHUp0YVYi141xAlu92eh9kKfHBEFoF50XBKfe
7HXizL4n0s4DZfZDqYU1SitMUhRhlwJ1H+ZgwlxHXYr8bmiNDVDRYiRV5YMSje12mt1XiCD07wD4
rTM8gsKtkzfZeyLDa2zgo24jt3znq7bHCg8Xfmaa8WE4a/ojJanfpYhovoZWUWqnLGLtQzg7ARSz
K0ArDAJkYRXQC9MAR1Gd01wYCWiaJB0i9GUslcxOAyFb/VEh7AeisE9X4exJUAh7Ai2wiITA6yg7
r8pMvhohwRPCPXZT8iUsY/suMBr5pCLoSsUptsV1wVN6sTRXQEJbhK8on+rZM0GiamrIGPC1r2OW
BVeOcFbIZ5OFyp56bGpn84VpNmKIkly9jDD4bddAKlg1WMK1IZ4NHJBERtcd3EhW5dow31uz2UMo
fB/MdsICYpwm1CDkHGANEcwuEZ0SSEtMcftsAR6OkQSAn3wRzfYSrQcafphNWfyRiwd2jwQABirh
RMKYojEn+6RICwwrIiAgndMbqiNvtrRoGUnC9ZytLuQy96qVHrc2zkFlbh9nJWFyaG6ESQZTQNKA
2Db9y4Y02At/CDHUwE0Ncw3wfv8dt2jlLwjjHe47ytENFX+18GZzDt9WtI09oBIyE25wghNG8yKa
ZUTghCM5hbO8CNOt6FwVmqPQSb2v5ChNi07vIFUD79fX2ixUaoRmKdDy4rjSyR9wbaFpSv2cmZwp
lE6a0DwNs/wJhES5riw0USMFEjPyWSrVzbIpnoP8hpsrOmtnWZUyS6yaWW6F23Kz6GcRlj8Lsqad
OGsWahVCszXlQYFkCh2XMUu6wD5FoKQJcAVbaUK4F/gGzlmGxZIW6bCXGBchEesKw/+kzGPZcDei
nce1DYNbYx7hxvM4N9LtjIlI3V38e9B+GuLX0f6L5LZ5uG1fB/z57d3eyV5nQh8lRAxFhakTJ/7U
59sH8EzRIwO4Y8fK/vqCWarZkEYhsBg296rQm9Z52wT/8982hrAWWyohYogzkGn8la2TWv/l1sm4
wQCHoMPH5Q7w8oetU+oLq06ltQWpmqQbYdlBa+sHZNnAKUHRbTilBTOSQrdZmH0ZX4YZpOyjDOjo
nmFjGZ6bTKRA4s0eer+TkYVSykaxRutYfpXHdrxGU+mkSwJtx/NWZo1ybRYFIQrK7Y+tnbXnXeW/
D/QGlik2bXeehwxq1cWy8lmKyuyiKRrlONWD7C6qPeWS2V99XzFerYkQkolpIXyqVc96oWmHJqK2
xKGRVbFCsh1lW9ifUnpYxpWcb+C3YlZQWj2akGmMkoyUGAzvXRP/A+Oo6NL282ArpbdUKq0jLKxA
6Q3ZXdd45mT1XVBbSEWHRr/WvTT7ZCuYvCC+CGRCrUe7r9yQXUNaQR9orxv2kqPcU3xqidEr8TeQ
rB5pJu0evp54+mc0SmPJDFTL7fDMCyxkoAx0ISaOUlZG22B0jozUwF7VCnymAB6yYp0u1tTbY5DL
qVn6QZ20pM0GTniVxqH30cTFZRU0TXVd20UtkRnQSw+2pzib2pdD5vmA0uWy9PCSB23Mv+a087EL
eQSHf+z87A1RQFEMF7AOrn2FCJGlmWTNoZaWRbqYVOFlXtpSsUqwKHMuIxEoAO/NuvZEyIBVBs17
P4tIHkjmFIJxMoQrmRWQToBzWbvRp75etKqWn0OwUs4lHMfIdJzTDXqjheDJRFNEg4gAhJ6F9aie
UxHoUBFKBCIsQfbsWjrrI8YGWqurJ5mHvBbiHku7YqoDgPJYa9xoTlzht6akhEUWnXcyVqaknbSW
6Z1OnhJpC48EotrFcSjTMezWpRMs7rDfwZW0oaNyyl64uSQKtsNdv0pkuTiJIcic8zVoLUT8OQ8k
ajAw1FObvqRyfGTPFtklN/FoJyu908DKQFODhz6p5DWTNpGeY+KUBN2pvfVbhkllpfubbPL8VVz6
WNxZSdrekJ3bMaOxU0lZqQkm7B5SqnorSVUTn5QAPjyMnpkjHJ8s+/zfs1JD7nt9pX4Xdg9V/fpC
zS8/NTliFVaF4Qu2ivyRLmIHyJoHEO/Jh8RbBg8XYBd+5xGQNVC90XU4DtRPVnBW0G8LNcYzULyY
zKo2/3LEwv8XOIOK+t1KLQ6DBsCw0CaoiiApvpzMDhpdgWMkC2aW8nsAsOY6zUL7VEOzg0kXzrVu
p8qDvC0sH8pZRgoAjPNOkj/6qcdjCa3YXmoNmuFthLA5XoDssegMqlldCc7TkTpYY72gnvX7cyc3
SJ2A3AYy1ndhcQcPRDXXasdmtZRbY/hMLvXwvtEN3XObEcX+MvZzYqZLnBThzej6UraD3MBNPi7I
ZzQKBhJwsvvToVTHEFcYaYJsoQlLQDp8HZaOxvrYMlkr8GoJG1hbsRGQTESuyUiDFIWfPIZGtxA6
UplZnNzZC2u08FEJVDVl2hXA7FzofmEig/VF0R9mXnsdDRVRzE0vqYVrKprsb40oaRYlhiiSm9V+
K69xBhqBJrq0O0l8yBculuUEbtEUebcqG0rKA9wDTAY9qK6IDJfetWbbfimLLIazpHuKeub4ZQ3+
ZsZZyzTKbC7C3mNVxdcaxpdmBN4pop8sO+xbVlR3YEh90pOvlbsq4gFoHWNsWQtoWzLxdDGsM0KQ
8CXAPUoNiEMht3nDvMdEa9dAYcHkcbpjLImol8qzNF0PQbL5aQx7Z3S1rmzOtKBrr6tIrWEjEYHG
DLHtY+NdDhXqMEMBNa20cqBRjru0eAhjKlXIgr2uuh7cuPhQNsvoFItw1cBDggQJpG/dwqvk4quw
dQGC17Ubo51C/JELj3g41dd6iYgSZ/iYYTooPHLY5v5FKMwvNbk3+ZcHlqDv053Vb2pcRT0gZJ5a
0CTvRIcl9LQsOcyJgGMYIWmgLBCJv61KQC+aDU/EYXCB/kSRqSwfy0fK0ZkpwmKm7zIi/8qqpBoc
/eWYiPEQoyrxScjIRZn7clVCxpDlTWJvU4vGwm2rLvmSR6GxbMokYU0wiHa3zWbENBzcdj0NVmW5
FnbgxXIKvByJfsMs1k8CN4wl+13fFnp1GMuWoCMXWchTNvYFMsT2Q2Fpnz29qS/0kBz1fkqBnRvW
SWBCm8YR6tQ54ADQqqYGnrLE8r37UtSjf+tFZWdtAhmz7XWr6AbWe4ms3TSeagi3wGAyADghUri4
+tCqjsxYjoqcQspturhQzojew8WkGKV6a0L7ZBNmPUXr0xbJVjPbsDuzOg+9gdEY1kOWMf53Its+
NSnwb+Upgfosj07TbxK4c9ijRJgqugBWVbog1rKxlmbeJvSyZXuJlBVujGX4zXu1ZrF3A9zsVMIA
gxQj3smPU+Ih9TG/gq48neidZ29BH+qTUAb2ga6lHVpFSp68R9LlYpik6bCETBZ+6KQhwRwaP5Ut
h1C/1O3YS8t8wFbKjXoltZaTKQ/eGQa2preAXGIdlwyWsGPWYV9CazHpo1UCZqBgN8Yqnozpuisn
UyROtQzhR5ybw6w2D8maaXGR8IeVqjTd0ggaG7+GIliGHUyLiuFRSVNxGORWdhnKGZa6XWdsOti7
p0GjZEdQPcajvlDDpd+YhLrlOGVcJVM2uk5eDYvaNott4pGWUIawi+RkVJZSVH3FLjk6Nh00WlOS
K/GpD80zAfq2/GFNfoanbCTfZpEVMJpkHeMkN1SXXZGV2q1a5T1mLL3qp8PFNJHUy84z1SPgWRKn
Bh1BDWN56flpiJ07vhTFsigmVLaFZPqfECapxUrlxiEBjtBe+aoWgY/anP0YihjIaHJIhHQgAliu
DDipr6ZeLix4RARIwlzP73rsHgx0WozZXZg85nvEU+pRrdLZJD73gjuJWMpKBFT2o0ZWpQSD9AO8
ii5dsqXpx7mItTR6Ai5TX0RditDLNByJvzTMcespRnlBHoVz3s85mcLRf4Npx3CrzjmawaiSqRkB
gILzi6hN7AvVu8SXesa7WNEwIKoorIeqWCYiqFMj5uuT4/SkdyYwOS+Gxo6vLRHumUx6tsK6Tb/I
4wxjhsrTGJz1lpp8AWnAObnHAfio1TL4z044IfEas7q/lUfJd2s7Gf0LfBnbaVkjnhmqyDpJwi6Z
VqNaVp98ZoX3tmSFmLPRGAb4kTUjaBMW2Xy9wxor9NbaTKrgbtiEkqmYLZn+1yTTtYxQgcC/nUY6
O1fWLTJvJOZmZ2bVRP6CNia5mWK8Ri4UvO4utCG/wuTSnFZJGfrHTHaNU88f6Rc8tVUvy8gfNYaB
da4se9SiH3wzHCfQIFu5bm00uwsAmP46iQPHXidOKE9LDTebZYiJXHmIzRoCdadW6i2FaFcvSoaL
LqafOZWZHHc0JZ4UX3WThzqSWLfaHVtf/pCGwfQ3BEL/b5PkRXq9/5Avb5vb1bz3XbYP1fjuoW6x
uXqqk8VPL/Iwa67yv/eXfv1Gj7vu1Vg8/M9/395jvbAM66YK75qfbMjY9b/sMuYPNn/qX70POFHY
tPccwDigGmZLplPYvXjDJM/8xx9bB2Aomows6fHHu9nNs+v02pX49UnuLumv/86LE7jL26wRX4Uf
5tmLC2EBXb1otF65BN+9wx+XgIqFkwPyx45zfvGGLy4BfBggL/vpxxQTHO///iX403uB3ux3LsR3
7/P8QlCZzS7X4ox58WU/uxCUfEzZBNVHON6J11u9EN/ToF65I169EDoB4yRvaqZgLokXV/bZhcCJ
RlcwCCdaavfagbJv6I7AIFZWRC++1/1gHtDSM7GaGWHiTHnDZ5cBkjeOtlwK0IT59VYfDP17ivxf
vR8EWq4CdODkuTvTl/cDPwYGYWSs7lbjN3QjPA7NBVK/162gH7D3i3iYme/PrUBb9+JW4AIQLmM9
7SJv9lbgc+91IawDNLJYUOFBtXu9fCbwmwLesek73+jaKKDAvS6A2AUwuMJZ9GWl4FApIB2BlPl4
Yd7cFWC1pq/ad2/g/CkFZu+U50+AADegusKZBXeYX2/tBhCnz6a259dvwJGxQH2M7+97PM9ISVOd
x71gV5S9wZVw/wsApYiKWH62+b9YCRWLLVHQp3evN7sS7ts5mAyK6RoY0D6e6cv1wDoAyeM6KU/F
4ptbD572xt/sH16tFs0D2KSmo1hPF+Jl2YzpEpNyHAuffry7A9/eo/GDkvCvlkk0izo2Mfq3epG6
69mjoR+AB6MTYK6/e73VC6Hvntk/sIC/eiFMOkoxFPu2F7yslowDmImILMHNd69d4/b27ght3wtB
lgWSEIpCBpjzizd8dkdwnWz+QVjy1jbLp7VhB3f8/TuBCyDaJzaLn14A44C9hDyex7ZibjSpzt7e
naDvXTbJgAfsibN299ktoCgH8MWh0Ntv9SEQ5KP9KmbtgG2QZLNvJcOLhwD3WljKUJGfNsq3+jBo
+7bRxoFhY1JkUDR82wCe3QpoxVCQmcabuxGwWST4bd+zByWAyQa3XFDOX5y2YGKoKvq4x9cbXQwF
836/B0EV/pOshGKM/OwKmJSKRGjDZ3p87Zr0t7cKihSP/a6AckAOFNNxUWs9uwKQLjX880HTHq/A
7lK/wSuw92IIbwAFJ6Shxw3xJZRmAbThPfZHd/Vmb4V9uwY2PtEmwpz6KaZI5iUKFuNbBSkAt7dV
GbAqggjuFuu/XyDZBzbMYcKqn2ATzvPZg6EfUBkAu4It7V5vbnN4rBSJYttvaaCdRtKMIOkJP3u5
QgiHQIt+AU7N7vVW22kBC+61RtoHOgRScqGf7YfP7gj7QGUbhdbzBDW/2Qux76PhHDiauoPsnp2/
cUCFpMCzh2I1v97gwjBj4HveBkyXiAFmxPa0JfI9P7sMBGzBfcUD+6mz3N12b3DH3LdzoiwmTsK0
9acv/OXCIKyb4Lmh5XhcId9c6fDNYmLPZQExJ+bR8vf3AY5xUJ3fbvu4W5/+/g7p8AXbcClB1nav
l+0D7AX0McRXvLnv/XFnVHcL1N+/AKh5qZQYMD6ev/x994DYl3G99fTzt7oSIIrad2eEa6ugdn6q
AV7eCTSYFtmWGgHTuyv1Vmsl0f7ttRaIGZxKz8yS+O1Mn+0NlNaUBwaTifk4v7Un/MZf+kYAWyCn
uZ+pX+FD/TOG2Gt/4Ynv9OPPH7lOIh8XKu038vP8FwUTbHfsh5mTJv77f19MI2bA8NkPnwDE57/+
eII/HvqnH+rpf27Ch+q2ugvG+XTHx495dptCHTv/tZ/Qt8/6A4vt23f/y3f3f+ZcyF4i5utPBLCf
kuR+6+2P/yyAY8+Pf3x732Y/T/jYYUl/fF1/7/os8Cyr/2vWEf0oI/o26933KG6Om9bP338epe/7
/v/JbtMvP0tCEYv5zGDa9wi/5Sex55f9K7XEnm99hRfGl5/cR0+bK3vKvlfoPQZWzU++5KdDAPns
e4jfkbvteaF+S/u85zH+3E113wP8aa78ngf4jaiCfY9wW3PL9q/fsgIg2Pd+Orn189fVkwKL2fcI
x38aSrjndfqNiOl9j3BLStfP9qAnyOofeLCPb3+2PTwdgPpr3+/hKPR/eTP9A6XANn198RMzr31P
gey/Lw8/7qGPF0lMVvc9wvrhnjIt+a/FLWmH/PvqoarCJq/Gp7ee60qM9FWcj+gK9j3eKmv9110m
9H/gAcedr3k9FFSoDfc+h/vXv3VBANn7/b/k2fiLU/gHNu7lQ9K8vs4KP6p9T8J9yNpf3Lr/wPPt
3o4PSf2Ls/gHHnD3tr0LfvFV/APP+H9idrwtQamvPufGP/Cc/+f+Nv3VaihG5/t+5f/5Er7+bQi5
0a8P8LM28xuh5cfm80kH9LNfe9lZi79xlzzcVv/7fwAAAP//</cx:binary>
              </cx:geoCache>
            </cx:geography>
          </cx:layoutPr>
          <cx:valueColors>
            <cx:minColor>
              <a:srgbClr val="99C2BD"/>
            </cx:minColor>
            <cx:midColor>
              <a:srgbClr val="66A9A2"/>
            </cx:midColor>
            <cx:maxColor>
              <a:srgbClr val="00675C"/>
            </cx:maxColor>
          </cx:valueColors>
          <cx:valueColorPositions count="3"/>
        </cx:series>
      </cx:plotAreaRegion>
    </cx:plotArea>
    <cx:legend pos="b" align="ctr" overlay="0"/>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NATIONAL OVERVIEW'!A1"/><Relationship Id="rId2" Type="http://schemas.openxmlformats.org/officeDocument/2006/relationships/image" Target="../media/image1.png"/><Relationship Id="rId1" Type="http://schemas.openxmlformats.org/officeDocument/2006/relationships/hyperlink" Target="#ANALYSIS!A1"/><Relationship Id="rId6" Type="http://schemas.openxmlformats.org/officeDocument/2006/relationships/image" Target="../media/image3.png"/><Relationship Id="rId5" Type="http://schemas.openxmlformats.org/officeDocument/2006/relationships/hyperlink" Target="#DATA!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NATIONAL OVERVIEW'!A1"/><Relationship Id="rId2" Type="http://schemas.openxmlformats.org/officeDocument/2006/relationships/image" Target="../media/image1.png"/><Relationship Id="rId1" Type="http://schemas.openxmlformats.org/officeDocument/2006/relationships/hyperlink" Target="#ANALYSIS!A1"/><Relationship Id="rId6" Type="http://schemas.openxmlformats.org/officeDocument/2006/relationships/image" Target="../media/image3.png"/><Relationship Id="rId5" Type="http://schemas.openxmlformats.org/officeDocument/2006/relationships/hyperlink" Target="#DATA!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ANALYSIS!A1"/><Relationship Id="rId13" Type="http://schemas.openxmlformats.org/officeDocument/2006/relationships/image" Target="../media/image3.png"/><Relationship Id="rId3" Type="http://schemas.openxmlformats.org/officeDocument/2006/relationships/chart" Target="../charts/chart2.xml"/><Relationship Id="rId7" Type="http://schemas.openxmlformats.org/officeDocument/2006/relationships/image" Target="../media/image6.png"/><Relationship Id="rId12" Type="http://schemas.openxmlformats.org/officeDocument/2006/relationships/hyperlink" Target="#DATA!A1"/><Relationship Id="rId17" Type="http://schemas.openxmlformats.org/officeDocument/2006/relationships/hyperlink" Target="https://sites.google.com/view/abdulsamadportfolio/home" TargetMode="External"/><Relationship Id="rId2" Type="http://schemas.microsoft.com/office/2014/relationships/chartEx" Target="../charts/chartEx1.xml"/><Relationship Id="rId16" Type="http://schemas.openxmlformats.org/officeDocument/2006/relationships/image" Target="../media/image8.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2.png"/><Relationship Id="rId5" Type="http://schemas.openxmlformats.org/officeDocument/2006/relationships/image" Target="../media/image4.png"/><Relationship Id="rId15" Type="http://schemas.openxmlformats.org/officeDocument/2006/relationships/image" Target="../media/image7.png"/><Relationship Id="rId10" Type="http://schemas.openxmlformats.org/officeDocument/2006/relationships/hyperlink" Target="#'NATIONAL OVERVIEW'!A1"/><Relationship Id="rId4" Type="http://schemas.openxmlformats.org/officeDocument/2006/relationships/chart" Target="../charts/chart3.xml"/><Relationship Id="rId9" Type="http://schemas.openxmlformats.org/officeDocument/2006/relationships/image" Target="../media/image1.png"/><Relationship Id="rId14" Type="http://schemas.openxmlformats.org/officeDocument/2006/relationships/hyperlink" Target="https://www.linkedin.com/in/abdulsamad-kudehinbu/" TargetMode="External"/></Relationships>
</file>

<file path=xl/drawings/drawing1.xml><?xml version="1.0" encoding="utf-8"?>
<xdr:wsDr xmlns:xdr="http://schemas.openxmlformats.org/drawingml/2006/spreadsheetDrawing" xmlns:a="http://schemas.openxmlformats.org/drawingml/2006/main">
  <xdr:twoCellAnchor>
    <xdr:from>
      <xdr:col>3</xdr:col>
      <xdr:colOff>556260</xdr:colOff>
      <xdr:row>5</xdr:row>
      <xdr:rowOff>53340</xdr:rowOff>
    </xdr:from>
    <xdr:to>
      <xdr:col>7</xdr:col>
      <xdr:colOff>843915</xdr:colOff>
      <xdr:row>7</xdr:row>
      <xdr:rowOff>144780</xdr:rowOff>
    </xdr:to>
    <xdr:grpSp>
      <xdr:nvGrpSpPr>
        <xdr:cNvPr id="2" name="Group 1">
          <a:extLst>
            <a:ext uri="{FF2B5EF4-FFF2-40B4-BE49-F238E27FC236}">
              <a16:creationId xmlns:a16="http://schemas.microsoft.com/office/drawing/2014/main" id="{4F5B7FF4-F362-441F-84AE-47A9BE13C954}"/>
            </a:ext>
          </a:extLst>
        </xdr:cNvPr>
        <xdr:cNvGrpSpPr/>
      </xdr:nvGrpSpPr>
      <xdr:grpSpPr>
        <a:xfrm>
          <a:off x="3878580" y="1158240"/>
          <a:ext cx="4638675" cy="533400"/>
          <a:chOff x="7475737" y="1076326"/>
          <a:chExt cx="4638675" cy="533400"/>
        </a:xfrm>
      </xdr:grpSpPr>
      <xdr:sp macro="" textlink="">
        <xdr:nvSpPr>
          <xdr:cNvPr id="3" name="Rectangle: Rounded Corners 2">
            <a:extLst>
              <a:ext uri="{FF2B5EF4-FFF2-40B4-BE49-F238E27FC236}">
                <a16:creationId xmlns:a16="http://schemas.microsoft.com/office/drawing/2014/main" id="{06FE292A-6A20-28F6-2201-5EC0B79E9EBD}"/>
              </a:ext>
            </a:extLst>
          </xdr:cNvPr>
          <xdr:cNvSpPr/>
        </xdr:nvSpPr>
        <xdr:spPr>
          <a:xfrm>
            <a:off x="7475737" y="1076326"/>
            <a:ext cx="4638675" cy="533400"/>
          </a:xfrm>
          <a:prstGeom prst="roundRect">
            <a:avLst>
              <a:gd name="adj" fmla="val 23853"/>
            </a:avLst>
          </a:prstGeom>
          <a:solidFill>
            <a:srgbClr val="99C2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3">
            <a:hlinkClick xmlns:r="http://schemas.openxmlformats.org/officeDocument/2006/relationships" r:id="rId1"/>
            <a:extLst>
              <a:ext uri="{FF2B5EF4-FFF2-40B4-BE49-F238E27FC236}">
                <a16:creationId xmlns:a16="http://schemas.microsoft.com/office/drawing/2014/main" id="{6CC4A382-6F98-0B90-76CA-163C78821E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93888" y="1131075"/>
            <a:ext cx="360000" cy="360000"/>
          </a:xfrm>
          <a:prstGeom prst="rect">
            <a:avLst/>
          </a:prstGeom>
        </xdr:spPr>
      </xdr:pic>
      <xdr:pic>
        <xdr:nvPicPr>
          <xdr:cNvPr id="5" name="Picture 4">
            <a:hlinkClick xmlns:r="http://schemas.openxmlformats.org/officeDocument/2006/relationships" r:id="rId3"/>
            <a:extLst>
              <a:ext uri="{FF2B5EF4-FFF2-40B4-BE49-F238E27FC236}">
                <a16:creationId xmlns:a16="http://schemas.microsoft.com/office/drawing/2014/main" id="{015BA191-EC0B-85AD-4FB1-7AAA421EDDF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836675" y="1149075"/>
            <a:ext cx="324000" cy="324000"/>
          </a:xfrm>
          <a:prstGeom prst="rect">
            <a:avLst/>
          </a:prstGeom>
        </xdr:spPr>
      </xdr:pic>
      <xdr:pic>
        <xdr:nvPicPr>
          <xdr:cNvPr id="6" name="Picture 5">
            <a:hlinkClick xmlns:r="http://schemas.openxmlformats.org/officeDocument/2006/relationships" r:id="rId5"/>
            <a:extLst>
              <a:ext uri="{FF2B5EF4-FFF2-40B4-BE49-F238E27FC236}">
                <a16:creationId xmlns:a16="http://schemas.microsoft.com/office/drawing/2014/main" id="{E3137BB9-F676-5A35-EEF3-D3ADC9063A0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387100" y="1131075"/>
            <a:ext cx="360000" cy="36000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194733</xdr:colOff>
      <xdr:row>0</xdr:row>
      <xdr:rowOff>76199</xdr:rowOff>
    </xdr:from>
    <xdr:to>
      <xdr:col>12</xdr:col>
      <xdr:colOff>1599141</xdr:colOff>
      <xdr:row>2</xdr:row>
      <xdr:rowOff>169332</xdr:rowOff>
    </xdr:to>
    <xdr:grpSp>
      <xdr:nvGrpSpPr>
        <xdr:cNvPr id="2" name="Group 1">
          <a:extLst>
            <a:ext uri="{FF2B5EF4-FFF2-40B4-BE49-F238E27FC236}">
              <a16:creationId xmlns:a16="http://schemas.microsoft.com/office/drawing/2014/main" id="{16C53A40-25E4-4AB8-AE6F-0465932CADE4}"/>
            </a:ext>
          </a:extLst>
        </xdr:cNvPr>
        <xdr:cNvGrpSpPr/>
      </xdr:nvGrpSpPr>
      <xdr:grpSpPr>
        <a:xfrm>
          <a:off x="7501466" y="76199"/>
          <a:ext cx="4638675" cy="533400"/>
          <a:chOff x="7475737" y="1076326"/>
          <a:chExt cx="4638675" cy="533400"/>
        </a:xfrm>
      </xdr:grpSpPr>
      <xdr:sp macro="" textlink="">
        <xdr:nvSpPr>
          <xdr:cNvPr id="3" name="Rectangle: Rounded Corners 2">
            <a:extLst>
              <a:ext uri="{FF2B5EF4-FFF2-40B4-BE49-F238E27FC236}">
                <a16:creationId xmlns:a16="http://schemas.microsoft.com/office/drawing/2014/main" id="{A0EA2EAD-3533-9D53-64AB-38D0502F1534}"/>
              </a:ext>
            </a:extLst>
          </xdr:cNvPr>
          <xdr:cNvSpPr/>
        </xdr:nvSpPr>
        <xdr:spPr>
          <a:xfrm>
            <a:off x="7475737" y="1076326"/>
            <a:ext cx="4638675" cy="533400"/>
          </a:xfrm>
          <a:prstGeom prst="roundRect">
            <a:avLst>
              <a:gd name="adj" fmla="val 23853"/>
            </a:avLst>
          </a:prstGeom>
          <a:solidFill>
            <a:srgbClr val="99C2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3">
            <a:hlinkClick xmlns:r="http://schemas.openxmlformats.org/officeDocument/2006/relationships" r:id="rId1"/>
            <a:extLst>
              <a:ext uri="{FF2B5EF4-FFF2-40B4-BE49-F238E27FC236}">
                <a16:creationId xmlns:a16="http://schemas.microsoft.com/office/drawing/2014/main" id="{C5744F1A-EF46-E0C9-69DD-4A5500384D0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93888" y="1131075"/>
            <a:ext cx="360000" cy="360000"/>
          </a:xfrm>
          <a:prstGeom prst="rect">
            <a:avLst/>
          </a:prstGeom>
        </xdr:spPr>
      </xdr:pic>
      <xdr:pic>
        <xdr:nvPicPr>
          <xdr:cNvPr id="5" name="Picture 4">
            <a:hlinkClick xmlns:r="http://schemas.openxmlformats.org/officeDocument/2006/relationships" r:id="rId3"/>
            <a:extLst>
              <a:ext uri="{FF2B5EF4-FFF2-40B4-BE49-F238E27FC236}">
                <a16:creationId xmlns:a16="http://schemas.microsoft.com/office/drawing/2014/main" id="{AE282DCC-38A8-9A5A-0C8B-47E9077CFEC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836675" y="1149075"/>
            <a:ext cx="324000" cy="324000"/>
          </a:xfrm>
          <a:prstGeom prst="rect">
            <a:avLst/>
          </a:prstGeom>
        </xdr:spPr>
      </xdr:pic>
      <xdr:pic>
        <xdr:nvPicPr>
          <xdr:cNvPr id="6" name="Picture 5">
            <a:hlinkClick xmlns:r="http://schemas.openxmlformats.org/officeDocument/2006/relationships" r:id="rId5"/>
            <a:extLst>
              <a:ext uri="{FF2B5EF4-FFF2-40B4-BE49-F238E27FC236}">
                <a16:creationId xmlns:a16="http://schemas.microsoft.com/office/drawing/2014/main" id="{072C339F-6F87-9569-4914-DA641DCB49D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387100" y="1131075"/>
            <a:ext cx="360000" cy="3600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244145</xdr:colOff>
      <xdr:row>3</xdr:row>
      <xdr:rowOff>135860</xdr:rowOff>
    </xdr:from>
    <xdr:to>
      <xdr:col>25</xdr:col>
      <xdr:colOff>155645</xdr:colOff>
      <xdr:row>36</xdr:row>
      <xdr:rowOff>89284</xdr:rowOff>
    </xdr:to>
    <xdr:grpSp>
      <xdr:nvGrpSpPr>
        <xdr:cNvPr id="76" name="Group 75">
          <a:extLst>
            <a:ext uri="{FF2B5EF4-FFF2-40B4-BE49-F238E27FC236}">
              <a16:creationId xmlns:a16="http://schemas.microsoft.com/office/drawing/2014/main" id="{3305A398-F163-3F99-38AB-AD5BA8745FFE}"/>
            </a:ext>
          </a:extLst>
        </xdr:cNvPr>
        <xdr:cNvGrpSpPr/>
      </xdr:nvGrpSpPr>
      <xdr:grpSpPr>
        <a:xfrm>
          <a:off x="2265450" y="809628"/>
          <a:ext cx="14734406" cy="7364877"/>
          <a:chOff x="2511424" y="1080559"/>
          <a:chExt cx="14626567" cy="7217824"/>
        </a:xfrm>
      </xdr:grpSpPr>
      <xdr:grpSp>
        <xdr:nvGrpSpPr>
          <xdr:cNvPr id="26" name="Group 25">
            <a:extLst>
              <a:ext uri="{FF2B5EF4-FFF2-40B4-BE49-F238E27FC236}">
                <a16:creationId xmlns:a16="http://schemas.microsoft.com/office/drawing/2014/main" id="{4329B950-AE51-5D93-E3A8-BE1BC813E708}"/>
              </a:ext>
            </a:extLst>
          </xdr:cNvPr>
          <xdr:cNvGrpSpPr/>
        </xdr:nvGrpSpPr>
        <xdr:grpSpPr>
          <a:xfrm>
            <a:off x="2511424" y="1425575"/>
            <a:ext cx="14626567" cy="6872808"/>
            <a:chOff x="2505074" y="1390650"/>
            <a:chExt cx="12960000" cy="6480000"/>
          </a:xfrm>
        </xdr:grpSpPr>
        <xdr:sp macro="" textlink="">
          <xdr:nvSpPr>
            <xdr:cNvPr id="2" name="Rectangle: Rounded Corners 1">
              <a:extLst>
                <a:ext uri="{FF2B5EF4-FFF2-40B4-BE49-F238E27FC236}">
                  <a16:creationId xmlns:a16="http://schemas.microsoft.com/office/drawing/2014/main" id="{FE6E924F-54B4-DB6D-EEDB-BDBDC5A652BF}"/>
                </a:ext>
              </a:extLst>
            </xdr:cNvPr>
            <xdr:cNvSpPr/>
          </xdr:nvSpPr>
          <xdr:spPr>
            <a:xfrm>
              <a:off x="2505074" y="1390650"/>
              <a:ext cx="12960000" cy="6480000"/>
            </a:xfrm>
            <a:prstGeom prst="roundRect">
              <a:avLst>
                <a:gd name="adj" fmla="val 2262"/>
              </a:avLst>
            </a:prstGeom>
            <a:solidFill>
              <a:srgbClr val="99C2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Rounded Corners 3">
              <a:extLst>
                <a:ext uri="{FF2B5EF4-FFF2-40B4-BE49-F238E27FC236}">
                  <a16:creationId xmlns:a16="http://schemas.microsoft.com/office/drawing/2014/main" id="{0030661A-7B96-7D01-BD9E-809BEE07A8FF}"/>
                </a:ext>
              </a:extLst>
            </xdr:cNvPr>
            <xdr:cNvSpPr/>
          </xdr:nvSpPr>
          <xdr:spPr>
            <a:xfrm>
              <a:off x="2685074" y="1570650"/>
              <a:ext cx="12600000" cy="6120000"/>
            </a:xfrm>
            <a:prstGeom prst="roundRect">
              <a:avLst>
                <a:gd name="adj" fmla="val 2262"/>
              </a:avLst>
            </a:prstGeom>
            <a:solidFill>
              <a:srgbClr val="CCE4D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0" name="Rectangle: Rounded Corners 9">
            <a:extLst>
              <a:ext uri="{FF2B5EF4-FFF2-40B4-BE49-F238E27FC236}">
                <a16:creationId xmlns:a16="http://schemas.microsoft.com/office/drawing/2014/main" id="{F7F5176B-C509-2AA0-653B-2D9D5495576E}"/>
              </a:ext>
            </a:extLst>
          </xdr:cNvPr>
          <xdr:cNvSpPr/>
        </xdr:nvSpPr>
        <xdr:spPr>
          <a:xfrm>
            <a:off x="2903091" y="2344209"/>
            <a:ext cx="4385651" cy="2144184"/>
          </a:xfrm>
          <a:prstGeom prst="roundRect">
            <a:avLst>
              <a:gd name="adj" fmla="val 3486"/>
            </a:avLst>
          </a:prstGeom>
          <a:solidFill>
            <a:schemeClr val="bg1">
              <a:alpha val="7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TextBox 10">
            <a:extLst>
              <a:ext uri="{FF2B5EF4-FFF2-40B4-BE49-F238E27FC236}">
                <a16:creationId xmlns:a16="http://schemas.microsoft.com/office/drawing/2014/main" id="{EC9AEB01-F7D9-78BA-631E-F429F2959C4E}"/>
              </a:ext>
            </a:extLst>
          </xdr:cNvPr>
          <xdr:cNvSpPr txBox="1"/>
        </xdr:nvSpPr>
        <xdr:spPr>
          <a:xfrm>
            <a:off x="3372908" y="1664758"/>
            <a:ext cx="5865283" cy="497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00675C"/>
                </a:solidFill>
                <a:latin typeface="Poppins" panose="00000500000000000000" pitchFamily="2" charset="0"/>
                <a:cs typeface="Poppins" panose="00000500000000000000" pitchFamily="2" charset="0"/>
              </a:rPr>
              <a:t>2019</a:t>
            </a:r>
            <a:r>
              <a:rPr lang="en-US" sz="1800" baseline="0">
                <a:solidFill>
                  <a:srgbClr val="00675C"/>
                </a:solidFill>
                <a:latin typeface="Poppins" panose="00000500000000000000" pitchFamily="2" charset="0"/>
                <a:cs typeface="Poppins" panose="00000500000000000000" pitchFamily="2" charset="0"/>
              </a:rPr>
              <a:t> NIGERIAN </a:t>
            </a:r>
            <a:r>
              <a:rPr lang="en-US" sz="1800">
                <a:solidFill>
                  <a:srgbClr val="00675C"/>
                </a:solidFill>
                <a:latin typeface="Poppins" panose="00000500000000000000" pitchFamily="2" charset="0"/>
                <a:cs typeface="Poppins" panose="00000500000000000000" pitchFamily="2" charset="0"/>
              </a:rPr>
              <a:t>PRESIDENTIAL ELECTION DASHBOARD</a:t>
            </a:r>
          </a:p>
        </xdr:txBody>
      </xdr:sp>
      <xdr:sp macro="" textlink="">
        <xdr:nvSpPr>
          <xdr:cNvPr id="12" name="TextBox 11">
            <a:extLst>
              <a:ext uri="{FF2B5EF4-FFF2-40B4-BE49-F238E27FC236}">
                <a16:creationId xmlns:a16="http://schemas.microsoft.com/office/drawing/2014/main" id="{BEBD211C-F3BB-08FA-1CBF-212945999E49}"/>
              </a:ext>
            </a:extLst>
          </xdr:cNvPr>
          <xdr:cNvSpPr txBox="1"/>
        </xdr:nvSpPr>
        <xdr:spPr>
          <a:xfrm>
            <a:off x="3391959" y="2038351"/>
            <a:ext cx="4575174" cy="267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rgbClr val="00675C"/>
                </a:solidFill>
                <a:latin typeface="Poppins" panose="00000500000000000000" pitchFamily="2" charset="0"/>
                <a:cs typeface="Poppins" panose="00000500000000000000" pitchFamily="2" charset="0"/>
              </a:rPr>
              <a:t>Behind</a:t>
            </a:r>
            <a:r>
              <a:rPr lang="en-US" sz="1000" baseline="0">
                <a:solidFill>
                  <a:srgbClr val="00675C"/>
                </a:solidFill>
                <a:latin typeface="Poppins" panose="00000500000000000000" pitchFamily="2" charset="0"/>
                <a:cs typeface="Poppins" panose="00000500000000000000" pitchFamily="2" charset="0"/>
              </a:rPr>
              <a:t> the ballots: A data-driven look into 2023 Presidential Election</a:t>
            </a:r>
            <a:endParaRPr lang="en-US" sz="1000">
              <a:solidFill>
                <a:srgbClr val="00675C"/>
              </a:solidFill>
              <a:latin typeface="Poppins" panose="00000500000000000000" pitchFamily="2" charset="0"/>
              <a:cs typeface="Poppins" panose="00000500000000000000" pitchFamily="2" charset="0"/>
            </a:endParaRPr>
          </a:p>
        </xdr:txBody>
      </xdr:sp>
      <xdr:grpSp>
        <xdr:nvGrpSpPr>
          <xdr:cNvPr id="37" name="Group 36">
            <a:extLst>
              <a:ext uri="{FF2B5EF4-FFF2-40B4-BE49-F238E27FC236}">
                <a16:creationId xmlns:a16="http://schemas.microsoft.com/office/drawing/2014/main" id="{BDD24DD8-D265-9E70-3BB8-0E1DF5297177}"/>
              </a:ext>
            </a:extLst>
          </xdr:cNvPr>
          <xdr:cNvGrpSpPr/>
        </xdr:nvGrpSpPr>
        <xdr:grpSpPr>
          <a:xfrm>
            <a:off x="3008354" y="2431787"/>
            <a:ext cx="4175125" cy="1969028"/>
            <a:chOff x="2961787" y="2462213"/>
            <a:chExt cx="4162425" cy="1960562"/>
          </a:xfrm>
        </xdr:grpSpPr>
        <xdr:grpSp>
          <xdr:nvGrpSpPr>
            <xdr:cNvPr id="34" name="Group 33">
              <a:extLst>
                <a:ext uri="{FF2B5EF4-FFF2-40B4-BE49-F238E27FC236}">
                  <a16:creationId xmlns:a16="http://schemas.microsoft.com/office/drawing/2014/main" id="{CA88B2D7-AD43-8C41-6165-AF954E76BA6A}"/>
                </a:ext>
              </a:extLst>
            </xdr:cNvPr>
            <xdr:cNvGrpSpPr/>
          </xdr:nvGrpSpPr>
          <xdr:grpSpPr>
            <a:xfrm>
              <a:off x="2961787" y="2462213"/>
              <a:ext cx="2028825" cy="925512"/>
              <a:chOff x="2961787" y="2462213"/>
              <a:chExt cx="2028825" cy="925512"/>
            </a:xfrm>
          </xdr:grpSpPr>
          <xdr:sp macro="" textlink="">
            <xdr:nvSpPr>
              <xdr:cNvPr id="13" name="Rectangle: Rounded Corners 12">
                <a:extLst>
                  <a:ext uri="{FF2B5EF4-FFF2-40B4-BE49-F238E27FC236}">
                    <a16:creationId xmlns:a16="http://schemas.microsoft.com/office/drawing/2014/main" id="{279FC97F-AE4F-FC38-0156-D0AB9DAEB05F}"/>
                  </a:ext>
                </a:extLst>
              </xdr:cNvPr>
              <xdr:cNvSpPr/>
            </xdr:nvSpPr>
            <xdr:spPr>
              <a:xfrm>
                <a:off x="2961787" y="2463800"/>
                <a:ext cx="2028825" cy="923925"/>
              </a:xfrm>
              <a:prstGeom prst="roundRect">
                <a:avLst>
                  <a:gd name="adj" fmla="val 10183"/>
                </a:avLst>
              </a:prstGeom>
              <a:solidFill>
                <a:srgbClr val="CCE4DF">
                  <a:alpha val="50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TextBox 21">
                <a:extLst>
                  <a:ext uri="{FF2B5EF4-FFF2-40B4-BE49-F238E27FC236}">
                    <a16:creationId xmlns:a16="http://schemas.microsoft.com/office/drawing/2014/main" id="{22390061-B5E4-C1AE-11AA-AABB60903860}"/>
                  </a:ext>
                </a:extLst>
              </xdr:cNvPr>
              <xdr:cNvSpPr txBox="1"/>
            </xdr:nvSpPr>
            <xdr:spPr>
              <a:xfrm>
                <a:off x="3085612" y="2462213"/>
                <a:ext cx="1781174"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solidFill>
                      <a:srgbClr val="00675C"/>
                    </a:solidFill>
                    <a:latin typeface="Poppins" panose="00000500000000000000" pitchFamily="2" charset="0"/>
                    <a:cs typeface="Poppins" panose="00000500000000000000" pitchFamily="2" charset="0"/>
                  </a:rPr>
                  <a:t>No. of Registered Voters</a:t>
                </a:r>
              </a:p>
            </xdr:txBody>
          </xdr:sp>
          <xdr:sp macro="" textlink="ANALYSIS!C8">
            <xdr:nvSpPr>
              <xdr:cNvPr id="27" name="TextBox 26">
                <a:extLst>
                  <a:ext uri="{FF2B5EF4-FFF2-40B4-BE49-F238E27FC236}">
                    <a16:creationId xmlns:a16="http://schemas.microsoft.com/office/drawing/2014/main" id="{2A2ED51B-C76D-1B32-B127-8A2B0458F4F4}"/>
                  </a:ext>
                </a:extLst>
              </xdr:cNvPr>
              <xdr:cNvSpPr txBox="1"/>
            </xdr:nvSpPr>
            <xdr:spPr>
              <a:xfrm>
                <a:off x="3176099" y="2738437"/>
                <a:ext cx="1600200" cy="561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2387031-466C-4B1F-9301-D6C42AF3BAAF}" type="TxLink">
                  <a:rPr lang="en-US" sz="1800">
                    <a:solidFill>
                      <a:srgbClr val="00675C"/>
                    </a:solidFill>
                    <a:latin typeface="Poppins" panose="00000500000000000000" pitchFamily="2" charset="0"/>
                    <a:ea typeface="+mn-ea"/>
                    <a:cs typeface="Poppins" panose="00000500000000000000" pitchFamily="2" charset="0"/>
                  </a:rPr>
                  <a:pPr marL="0" indent="0" algn="ctr"/>
                  <a:t>82.34M</a:t>
                </a:fld>
                <a:endParaRPr lang="en-US" sz="1800">
                  <a:solidFill>
                    <a:srgbClr val="00675C"/>
                  </a:solidFill>
                  <a:latin typeface="Poppins" panose="00000500000000000000" pitchFamily="2" charset="0"/>
                  <a:ea typeface="+mn-ea"/>
                  <a:cs typeface="Poppins" panose="00000500000000000000" pitchFamily="2" charset="0"/>
                </a:endParaRPr>
              </a:p>
            </xdr:txBody>
          </xdr:sp>
        </xdr:grpSp>
        <xdr:grpSp>
          <xdr:nvGrpSpPr>
            <xdr:cNvPr id="33" name="Group 32">
              <a:extLst>
                <a:ext uri="{FF2B5EF4-FFF2-40B4-BE49-F238E27FC236}">
                  <a16:creationId xmlns:a16="http://schemas.microsoft.com/office/drawing/2014/main" id="{24BB451B-24C5-DCC6-E7A5-DB98213DE6C1}"/>
                </a:ext>
              </a:extLst>
            </xdr:cNvPr>
            <xdr:cNvGrpSpPr/>
          </xdr:nvGrpSpPr>
          <xdr:grpSpPr>
            <a:xfrm>
              <a:off x="2961787" y="3495675"/>
              <a:ext cx="2028825" cy="927100"/>
              <a:chOff x="2961787" y="3495675"/>
              <a:chExt cx="2028825" cy="927100"/>
            </a:xfrm>
          </xdr:grpSpPr>
          <xdr:sp macro="" textlink="">
            <xdr:nvSpPr>
              <xdr:cNvPr id="19" name="Rectangle: Rounded Corners 18">
                <a:extLst>
                  <a:ext uri="{FF2B5EF4-FFF2-40B4-BE49-F238E27FC236}">
                    <a16:creationId xmlns:a16="http://schemas.microsoft.com/office/drawing/2014/main" id="{FCE63ACA-6E7F-9531-E954-AFF9D2CC8230}"/>
                  </a:ext>
                </a:extLst>
              </xdr:cNvPr>
              <xdr:cNvSpPr/>
            </xdr:nvSpPr>
            <xdr:spPr>
              <a:xfrm>
                <a:off x="2961787" y="3498850"/>
                <a:ext cx="2028825" cy="923925"/>
              </a:xfrm>
              <a:prstGeom prst="roundRect">
                <a:avLst>
                  <a:gd name="adj" fmla="val 10183"/>
                </a:avLst>
              </a:prstGeom>
              <a:solidFill>
                <a:srgbClr val="CCE4DF">
                  <a:alpha val="50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TextBox 22">
                <a:extLst>
                  <a:ext uri="{FF2B5EF4-FFF2-40B4-BE49-F238E27FC236}">
                    <a16:creationId xmlns:a16="http://schemas.microsoft.com/office/drawing/2014/main" id="{1E95DC3D-9DFD-B678-2D08-4877EFA35DE4}"/>
                  </a:ext>
                </a:extLst>
              </xdr:cNvPr>
              <xdr:cNvSpPr txBox="1"/>
            </xdr:nvSpPr>
            <xdr:spPr>
              <a:xfrm>
                <a:off x="3085612" y="3495675"/>
                <a:ext cx="1781174"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solidFill>
                      <a:srgbClr val="00675C"/>
                    </a:solidFill>
                    <a:latin typeface="Poppins" panose="00000500000000000000" pitchFamily="2" charset="0"/>
                    <a:cs typeface="Poppins" panose="00000500000000000000" pitchFamily="2" charset="0"/>
                  </a:rPr>
                  <a:t>No.</a:t>
                </a:r>
                <a:r>
                  <a:rPr lang="en-US" sz="1000" baseline="0">
                    <a:solidFill>
                      <a:srgbClr val="00675C"/>
                    </a:solidFill>
                    <a:latin typeface="Poppins" panose="00000500000000000000" pitchFamily="2" charset="0"/>
                    <a:cs typeface="Poppins" panose="00000500000000000000" pitchFamily="2" charset="0"/>
                  </a:rPr>
                  <a:t> of </a:t>
                </a:r>
                <a:r>
                  <a:rPr lang="en-US" sz="1000">
                    <a:solidFill>
                      <a:srgbClr val="00675C"/>
                    </a:solidFill>
                    <a:latin typeface="Poppins" panose="00000500000000000000" pitchFamily="2" charset="0"/>
                    <a:cs typeface="Poppins" panose="00000500000000000000" pitchFamily="2" charset="0"/>
                  </a:rPr>
                  <a:t>Accredited Voters</a:t>
                </a:r>
              </a:p>
            </xdr:txBody>
          </xdr:sp>
          <xdr:sp macro="" textlink="ANALYSIS!D8">
            <xdr:nvSpPr>
              <xdr:cNvPr id="28" name="TextBox 27">
                <a:extLst>
                  <a:ext uri="{FF2B5EF4-FFF2-40B4-BE49-F238E27FC236}">
                    <a16:creationId xmlns:a16="http://schemas.microsoft.com/office/drawing/2014/main" id="{37C79178-3CC1-9B65-884C-A8A430DF1FA4}"/>
                  </a:ext>
                </a:extLst>
              </xdr:cNvPr>
              <xdr:cNvSpPr txBox="1"/>
            </xdr:nvSpPr>
            <xdr:spPr>
              <a:xfrm>
                <a:off x="3176099" y="3748087"/>
                <a:ext cx="1600200" cy="561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41997C8-57FE-49DD-B054-D6EFF7CACA6A}" type="TxLink">
                  <a:rPr lang="en-US" sz="1800">
                    <a:solidFill>
                      <a:srgbClr val="00675C"/>
                    </a:solidFill>
                    <a:latin typeface="Poppins" panose="00000500000000000000" pitchFamily="2" charset="0"/>
                    <a:ea typeface="+mn-ea"/>
                    <a:cs typeface="Poppins" panose="00000500000000000000" pitchFamily="2" charset="0"/>
                  </a:rPr>
                  <a:pPr marL="0" indent="0" algn="ctr"/>
                  <a:t>29.36M</a:t>
                </a:fld>
                <a:endParaRPr lang="en-US" sz="1800">
                  <a:solidFill>
                    <a:srgbClr val="00675C"/>
                  </a:solidFill>
                  <a:latin typeface="Poppins" panose="00000500000000000000" pitchFamily="2" charset="0"/>
                  <a:ea typeface="+mn-ea"/>
                  <a:cs typeface="Poppins" panose="00000500000000000000" pitchFamily="2" charset="0"/>
                </a:endParaRPr>
              </a:p>
            </xdr:txBody>
          </xdr:sp>
        </xdr:grpSp>
        <xdr:grpSp>
          <xdr:nvGrpSpPr>
            <xdr:cNvPr id="32" name="Group 31">
              <a:extLst>
                <a:ext uri="{FF2B5EF4-FFF2-40B4-BE49-F238E27FC236}">
                  <a16:creationId xmlns:a16="http://schemas.microsoft.com/office/drawing/2014/main" id="{42914FEA-75DA-BD20-5494-1F7B3A006D97}"/>
                </a:ext>
              </a:extLst>
            </xdr:cNvPr>
            <xdr:cNvGrpSpPr/>
          </xdr:nvGrpSpPr>
          <xdr:grpSpPr>
            <a:xfrm>
              <a:off x="5095387" y="2462213"/>
              <a:ext cx="2028825" cy="925512"/>
              <a:chOff x="5104912" y="2462213"/>
              <a:chExt cx="2028825" cy="925512"/>
            </a:xfrm>
          </xdr:grpSpPr>
          <xdr:sp macro="" textlink="">
            <xdr:nvSpPr>
              <xdr:cNvPr id="20" name="Rectangle: Rounded Corners 19">
                <a:extLst>
                  <a:ext uri="{FF2B5EF4-FFF2-40B4-BE49-F238E27FC236}">
                    <a16:creationId xmlns:a16="http://schemas.microsoft.com/office/drawing/2014/main" id="{C2C6C76F-757E-18E2-EEF0-F4F2F849EC56}"/>
                  </a:ext>
                </a:extLst>
              </xdr:cNvPr>
              <xdr:cNvSpPr/>
            </xdr:nvSpPr>
            <xdr:spPr>
              <a:xfrm>
                <a:off x="5104912" y="2463800"/>
                <a:ext cx="2028825" cy="923925"/>
              </a:xfrm>
              <a:prstGeom prst="roundRect">
                <a:avLst>
                  <a:gd name="adj" fmla="val 10183"/>
                </a:avLst>
              </a:prstGeom>
              <a:solidFill>
                <a:srgbClr val="CCE4DF">
                  <a:alpha val="50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TextBox 23">
                <a:extLst>
                  <a:ext uri="{FF2B5EF4-FFF2-40B4-BE49-F238E27FC236}">
                    <a16:creationId xmlns:a16="http://schemas.microsoft.com/office/drawing/2014/main" id="{D8966AD6-9CE7-9E02-86A7-A3DDA8AF8343}"/>
                  </a:ext>
                </a:extLst>
              </xdr:cNvPr>
              <xdr:cNvSpPr txBox="1"/>
            </xdr:nvSpPr>
            <xdr:spPr>
              <a:xfrm>
                <a:off x="5228737" y="2462213"/>
                <a:ext cx="1781174"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solidFill>
                      <a:srgbClr val="00675C"/>
                    </a:solidFill>
                    <a:latin typeface="Poppins" panose="00000500000000000000" pitchFamily="2" charset="0"/>
                    <a:cs typeface="Poppins" panose="00000500000000000000" pitchFamily="2" charset="0"/>
                  </a:rPr>
                  <a:t>No. of Valid Votes</a:t>
                </a:r>
              </a:p>
            </xdr:txBody>
          </xdr:sp>
          <xdr:sp macro="" textlink="ANALYSIS!E8">
            <xdr:nvSpPr>
              <xdr:cNvPr id="29" name="TextBox 28">
                <a:extLst>
                  <a:ext uri="{FF2B5EF4-FFF2-40B4-BE49-F238E27FC236}">
                    <a16:creationId xmlns:a16="http://schemas.microsoft.com/office/drawing/2014/main" id="{B8A3DD1A-F6A8-940C-A13C-CEFF6F1750F0}"/>
                  </a:ext>
                </a:extLst>
              </xdr:cNvPr>
              <xdr:cNvSpPr txBox="1"/>
            </xdr:nvSpPr>
            <xdr:spPr>
              <a:xfrm>
                <a:off x="5319224" y="2738437"/>
                <a:ext cx="1600200" cy="561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BD13CD9-F98A-45C6-BC86-262D33539F5E}" type="TxLink">
                  <a:rPr lang="en-US" sz="1800">
                    <a:solidFill>
                      <a:srgbClr val="00675C"/>
                    </a:solidFill>
                    <a:latin typeface="Poppins" panose="00000500000000000000" pitchFamily="2" charset="0"/>
                    <a:ea typeface="+mn-ea"/>
                    <a:cs typeface="Poppins" panose="00000500000000000000" pitchFamily="2" charset="0"/>
                  </a:rPr>
                  <a:pPr marL="0" indent="0" algn="ctr"/>
                  <a:t>27.32M</a:t>
                </a:fld>
                <a:endParaRPr lang="en-US" sz="1800">
                  <a:solidFill>
                    <a:srgbClr val="00675C"/>
                  </a:solidFill>
                  <a:latin typeface="Poppins" panose="00000500000000000000" pitchFamily="2" charset="0"/>
                  <a:ea typeface="+mn-ea"/>
                  <a:cs typeface="Poppins" panose="00000500000000000000" pitchFamily="2" charset="0"/>
                </a:endParaRPr>
              </a:p>
            </xdr:txBody>
          </xdr:sp>
        </xdr:grpSp>
        <xdr:grpSp>
          <xdr:nvGrpSpPr>
            <xdr:cNvPr id="35" name="Group 34">
              <a:extLst>
                <a:ext uri="{FF2B5EF4-FFF2-40B4-BE49-F238E27FC236}">
                  <a16:creationId xmlns:a16="http://schemas.microsoft.com/office/drawing/2014/main" id="{9D31ACA3-04E0-297D-BF52-D77BF42BCF44}"/>
                </a:ext>
              </a:extLst>
            </xdr:cNvPr>
            <xdr:cNvGrpSpPr/>
          </xdr:nvGrpSpPr>
          <xdr:grpSpPr>
            <a:xfrm>
              <a:off x="5095387" y="3498850"/>
              <a:ext cx="2028825" cy="923925"/>
              <a:chOff x="5123962" y="3467100"/>
              <a:chExt cx="2028825" cy="923925"/>
            </a:xfrm>
          </xdr:grpSpPr>
          <xdr:sp macro="" textlink="">
            <xdr:nvSpPr>
              <xdr:cNvPr id="21" name="Rectangle: Rounded Corners 20">
                <a:extLst>
                  <a:ext uri="{FF2B5EF4-FFF2-40B4-BE49-F238E27FC236}">
                    <a16:creationId xmlns:a16="http://schemas.microsoft.com/office/drawing/2014/main" id="{6790CEC5-3299-32D6-9111-E41203616C31}"/>
                  </a:ext>
                </a:extLst>
              </xdr:cNvPr>
              <xdr:cNvSpPr/>
            </xdr:nvSpPr>
            <xdr:spPr>
              <a:xfrm>
                <a:off x="5123962" y="3467100"/>
                <a:ext cx="2028825" cy="923925"/>
              </a:xfrm>
              <a:prstGeom prst="roundRect">
                <a:avLst>
                  <a:gd name="adj" fmla="val 10183"/>
                </a:avLst>
              </a:prstGeom>
              <a:solidFill>
                <a:srgbClr val="CCE4DF">
                  <a:alpha val="50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TextBox 24">
                <a:extLst>
                  <a:ext uri="{FF2B5EF4-FFF2-40B4-BE49-F238E27FC236}">
                    <a16:creationId xmlns:a16="http://schemas.microsoft.com/office/drawing/2014/main" id="{36C9C0DA-2B6B-0318-79C0-CC59653D3C31}"/>
                  </a:ext>
                </a:extLst>
              </xdr:cNvPr>
              <xdr:cNvSpPr txBox="1"/>
            </xdr:nvSpPr>
            <xdr:spPr>
              <a:xfrm>
                <a:off x="5247787" y="3476625"/>
                <a:ext cx="1781174"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solidFill>
                      <a:srgbClr val="00675C"/>
                    </a:solidFill>
                    <a:latin typeface="Poppins" panose="00000500000000000000" pitchFamily="2" charset="0"/>
                    <a:cs typeface="Poppins" panose="00000500000000000000" pitchFamily="2" charset="0"/>
                  </a:rPr>
                  <a:t>No. of Rejected Votes</a:t>
                </a:r>
              </a:p>
            </xdr:txBody>
          </xdr:sp>
          <xdr:sp macro="" textlink="ANALYSIS!F8">
            <xdr:nvSpPr>
              <xdr:cNvPr id="30" name="TextBox 29">
                <a:extLst>
                  <a:ext uri="{FF2B5EF4-FFF2-40B4-BE49-F238E27FC236}">
                    <a16:creationId xmlns:a16="http://schemas.microsoft.com/office/drawing/2014/main" id="{BB18371D-3BDD-7AE7-9A56-B362ABDBB205}"/>
                  </a:ext>
                </a:extLst>
              </xdr:cNvPr>
              <xdr:cNvSpPr txBox="1"/>
            </xdr:nvSpPr>
            <xdr:spPr>
              <a:xfrm>
                <a:off x="5338274" y="3748087"/>
                <a:ext cx="1600200" cy="561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9C11A2-5A6B-46D3-9B1D-4F3C546ECE39}" type="TxLink">
                  <a:rPr lang="en-US" sz="1800">
                    <a:solidFill>
                      <a:srgbClr val="00675C"/>
                    </a:solidFill>
                    <a:latin typeface="Poppins" panose="00000500000000000000" pitchFamily="2" charset="0"/>
                    <a:ea typeface="+mn-ea"/>
                    <a:cs typeface="Poppins" panose="00000500000000000000" pitchFamily="2" charset="0"/>
                  </a:rPr>
                  <a:pPr marL="0" indent="0" algn="ctr"/>
                  <a:t>1.29M</a:t>
                </a:fld>
                <a:endParaRPr lang="en-US" sz="1800">
                  <a:solidFill>
                    <a:srgbClr val="00675C"/>
                  </a:solidFill>
                  <a:latin typeface="Poppins" panose="00000500000000000000" pitchFamily="2" charset="0"/>
                  <a:ea typeface="+mn-ea"/>
                  <a:cs typeface="Poppins" panose="00000500000000000000" pitchFamily="2" charset="0"/>
                </a:endParaRPr>
              </a:p>
            </xdr:txBody>
          </xdr:sp>
        </xdr:grpSp>
      </xdr:grpSp>
      <xdr:sp macro="" textlink="">
        <xdr:nvSpPr>
          <xdr:cNvPr id="38" name="Rectangle: Rounded Corners 37">
            <a:extLst>
              <a:ext uri="{FF2B5EF4-FFF2-40B4-BE49-F238E27FC236}">
                <a16:creationId xmlns:a16="http://schemas.microsoft.com/office/drawing/2014/main" id="{10538F15-96D8-0225-C7F9-569B7E2A879E}"/>
              </a:ext>
            </a:extLst>
          </xdr:cNvPr>
          <xdr:cNvSpPr/>
        </xdr:nvSpPr>
        <xdr:spPr>
          <a:xfrm>
            <a:off x="2903091" y="4612217"/>
            <a:ext cx="4386700" cy="3005665"/>
          </a:xfrm>
          <a:prstGeom prst="roundRect">
            <a:avLst>
              <a:gd name="adj" fmla="val 3486"/>
            </a:avLst>
          </a:prstGeom>
          <a:solidFill>
            <a:schemeClr val="bg1">
              <a:alpha val="7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a:extLst>
              <a:ext uri="{FF2B5EF4-FFF2-40B4-BE49-F238E27FC236}">
                <a16:creationId xmlns:a16="http://schemas.microsoft.com/office/drawing/2014/main" id="{123117F0-C0AC-D3AE-CBA7-E82A3DB4AA4E}"/>
              </a:ext>
            </a:extLst>
          </xdr:cNvPr>
          <xdr:cNvSpPr txBox="1"/>
        </xdr:nvSpPr>
        <xdr:spPr>
          <a:xfrm>
            <a:off x="2999318" y="4660901"/>
            <a:ext cx="3506257" cy="315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rgbClr val="00675C"/>
                </a:solidFill>
                <a:latin typeface="Poppins" panose="00000500000000000000" pitchFamily="2" charset="0"/>
                <a:cs typeface="Poppins" panose="00000500000000000000" pitchFamily="2" charset="0"/>
              </a:rPr>
              <a:t>Number of Votes by Party (APC,</a:t>
            </a:r>
            <a:r>
              <a:rPr lang="en-US" sz="1000" baseline="0">
                <a:solidFill>
                  <a:srgbClr val="00675C"/>
                </a:solidFill>
                <a:latin typeface="Poppins" panose="00000500000000000000" pitchFamily="2" charset="0"/>
                <a:cs typeface="Poppins" panose="00000500000000000000" pitchFamily="2" charset="0"/>
              </a:rPr>
              <a:t> </a:t>
            </a:r>
            <a:r>
              <a:rPr lang="en-US" sz="1000">
                <a:solidFill>
                  <a:srgbClr val="00675C"/>
                </a:solidFill>
                <a:latin typeface="Poppins" panose="00000500000000000000" pitchFamily="2" charset="0"/>
                <a:cs typeface="Poppins" panose="00000500000000000000" pitchFamily="2" charset="0"/>
              </a:rPr>
              <a:t>PDP and Others)</a:t>
            </a:r>
          </a:p>
        </xdr:txBody>
      </xdr:sp>
      <xdr:graphicFrame macro="">
        <xdr:nvGraphicFramePr>
          <xdr:cNvPr id="41" name="Chart 40">
            <a:extLst>
              <a:ext uri="{FF2B5EF4-FFF2-40B4-BE49-F238E27FC236}">
                <a16:creationId xmlns:a16="http://schemas.microsoft.com/office/drawing/2014/main" id="{0D86A0AB-8D5E-43AF-B857-158D02FF8BA1}"/>
              </a:ext>
            </a:extLst>
          </xdr:cNvPr>
          <xdr:cNvGraphicFramePr>
            <a:graphicFrameLocks/>
          </xdr:cNvGraphicFramePr>
        </xdr:nvGraphicFramePr>
        <xdr:xfrm>
          <a:off x="2931666" y="5101167"/>
          <a:ext cx="4288367" cy="2466975"/>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42" name="Rectangle: Rounded Corners 41">
            <a:extLst>
              <a:ext uri="{FF2B5EF4-FFF2-40B4-BE49-F238E27FC236}">
                <a16:creationId xmlns:a16="http://schemas.microsoft.com/office/drawing/2014/main" id="{49BD484A-7795-D79E-46E7-149019D911C3}"/>
              </a:ext>
            </a:extLst>
          </xdr:cNvPr>
          <xdr:cNvSpPr/>
        </xdr:nvSpPr>
        <xdr:spPr>
          <a:xfrm>
            <a:off x="12431265" y="3119967"/>
            <a:ext cx="4233251" cy="4469340"/>
          </a:xfrm>
          <a:prstGeom prst="roundRect">
            <a:avLst>
              <a:gd name="adj" fmla="val 2627"/>
            </a:avLst>
          </a:prstGeom>
          <a:solidFill>
            <a:schemeClr val="bg1">
              <a:alpha val="7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cx4="http://schemas.microsoft.com/office/drawing/2016/5/10/chartex" Requires="cx4">
          <xdr:graphicFrame macro="">
            <xdr:nvGraphicFramePr>
              <xdr:cNvPr id="45" name="Chart 44">
                <a:extLst>
                  <a:ext uri="{FF2B5EF4-FFF2-40B4-BE49-F238E27FC236}">
                    <a16:creationId xmlns:a16="http://schemas.microsoft.com/office/drawing/2014/main" id="{54BAC980-9D19-494A-9D52-74156379F0CD}"/>
                  </a:ext>
                </a:extLst>
              </xdr:cNvPr>
              <xdr:cNvGraphicFramePr/>
            </xdr:nvGraphicFramePr>
            <xdr:xfrm>
              <a:off x="12487275" y="3894667"/>
              <a:ext cx="4070350" cy="3608916"/>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2487275" y="3894667"/>
                <a:ext cx="4070350" cy="360891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grpSp>
        <xdr:nvGrpSpPr>
          <xdr:cNvPr id="68" name="Group 67">
            <a:extLst>
              <a:ext uri="{FF2B5EF4-FFF2-40B4-BE49-F238E27FC236}">
                <a16:creationId xmlns:a16="http://schemas.microsoft.com/office/drawing/2014/main" id="{CE35A716-B17E-E6D4-0949-59DF0FE55254}"/>
              </a:ext>
            </a:extLst>
          </xdr:cNvPr>
          <xdr:cNvGrpSpPr/>
        </xdr:nvGrpSpPr>
        <xdr:grpSpPr>
          <a:xfrm>
            <a:off x="7385132" y="2353733"/>
            <a:ext cx="4910817" cy="2660649"/>
            <a:chOff x="7371374" y="4933950"/>
            <a:chExt cx="4896000" cy="2647949"/>
          </a:xfrm>
        </xdr:grpSpPr>
        <xdr:sp macro="" textlink="">
          <xdr:nvSpPr>
            <xdr:cNvPr id="49" name="Rectangle: Rounded Corners 48">
              <a:extLst>
                <a:ext uri="{FF2B5EF4-FFF2-40B4-BE49-F238E27FC236}">
                  <a16:creationId xmlns:a16="http://schemas.microsoft.com/office/drawing/2014/main" id="{37478B13-3266-B5C1-5491-DFA8D94DE448}"/>
                </a:ext>
              </a:extLst>
            </xdr:cNvPr>
            <xdr:cNvSpPr/>
          </xdr:nvSpPr>
          <xdr:spPr>
            <a:xfrm>
              <a:off x="7371374" y="4933950"/>
              <a:ext cx="4896000" cy="2628899"/>
            </a:xfrm>
            <a:prstGeom prst="roundRect">
              <a:avLst>
                <a:gd name="adj" fmla="val 3486"/>
              </a:avLst>
            </a:prstGeom>
            <a:solidFill>
              <a:schemeClr val="bg1">
                <a:alpha val="7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3" name="Chart 42">
              <a:extLst>
                <a:ext uri="{FF2B5EF4-FFF2-40B4-BE49-F238E27FC236}">
                  <a16:creationId xmlns:a16="http://schemas.microsoft.com/office/drawing/2014/main" id="{8221722E-6E0D-4E53-AAE6-F50AF36832FE}"/>
                </a:ext>
              </a:extLst>
            </xdr:cNvPr>
            <xdr:cNvGraphicFramePr>
              <a:graphicFrameLocks/>
            </xdr:cNvGraphicFramePr>
          </xdr:nvGraphicFramePr>
          <xdr:xfrm>
            <a:off x="7457098" y="5267325"/>
            <a:ext cx="4687277" cy="2314574"/>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44" name="TextBox 43">
              <a:extLst>
                <a:ext uri="{FF2B5EF4-FFF2-40B4-BE49-F238E27FC236}">
                  <a16:creationId xmlns:a16="http://schemas.microsoft.com/office/drawing/2014/main" id="{172105B9-04F9-1081-F485-8AA1329CC204}"/>
                </a:ext>
              </a:extLst>
            </xdr:cNvPr>
            <xdr:cNvSpPr txBox="1"/>
          </xdr:nvSpPr>
          <xdr:spPr>
            <a:xfrm>
              <a:off x="7419976" y="4962526"/>
              <a:ext cx="2628899" cy="314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rgbClr val="00675C"/>
                  </a:solidFill>
                  <a:latin typeface="Poppins" panose="00000500000000000000" pitchFamily="2" charset="0"/>
                  <a:cs typeface="Poppins" panose="00000500000000000000" pitchFamily="2" charset="0"/>
                </a:rPr>
                <a:t>Average % of Party Votes by Region</a:t>
              </a:r>
            </a:p>
          </xdr:txBody>
        </xdr:sp>
      </xdr:grpSp>
      <xdr:grpSp>
        <xdr:nvGrpSpPr>
          <xdr:cNvPr id="67" name="Group 66">
            <a:extLst>
              <a:ext uri="{FF2B5EF4-FFF2-40B4-BE49-F238E27FC236}">
                <a16:creationId xmlns:a16="http://schemas.microsoft.com/office/drawing/2014/main" id="{07F5E9D0-6293-E3B3-A1FE-EBB8AD8A2C66}"/>
              </a:ext>
            </a:extLst>
          </xdr:cNvPr>
          <xdr:cNvGrpSpPr/>
        </xdr:nvGrpSpPr>
        <xdr:grpSpPr>
          <a:xfrm>
            <a:off x="7404181" y="5063067"/>
            <a:ext cx="4910817" cy="2545290"/>
            <a:chOff x="7371373" y="2314575"/>
            <a:chExt cx="4896000" cy="2533649"/>
          </a:xfrm>
        </xdr:grpSpPr>
        <xdr:sp macro="" textlink="">
          <xdr:nvSpPr>
            <xdr:cNvPr id="47" name="Rectangle: Rounded Corners 46">
              <a:extLst>
                <a:ext uri="{FF2B5EF4-FFF2-40B4-BE49-F238E27FC236}">
                  <a16:creationId xmlns:a16="http://schemas.microsoft.com/office/drawing/2014/main" id="{11510788-9B3C-0315-CCB9-6C2FE6F86B8F}"/>
                </a:ext>
              </a:extLst>
            </xdr:cNvPr>
            <xdr:cNvSpPr/>
          </xdr:nvSpPr>
          <xdr:spPr>
            <a:xfrm>
              <a:off x="7371373" y="2314575"/>
              <a:ext cx="4896000" cy="2533649"/>
            </a:xfrm>
            <a:prstGeom prst="roundRect">
              <a:avLst>
                <a:gd name="adj" fmla="val 3486"/>
              </a:avLst>
            </a:prstGeom>
            <a:solidFill>
              <a:schemeClr val="bg1">
                <a:alpha val="7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6" name="TextBox 45">
              <a:extLst>
                <a:ext uri="{FF2B5EF4-FFF2-40B4-BE49-F238E27FC236}">
                  <a16:creationId xmlns:a16="http://schemas.microsoft.com/office/drawing/2014/main" id="{7A70ACB0-0949-FA30-A874-6CD50D28AD46}"/>
                </a:ext>
              </a:extLst>
            </xdr:cNvPr>
            <xdr:cNvSpPr txBox="1"/>
          </xdr:nvSpPr>
          <xdr:spPr>
            <a:xfrm>
              <a:off x="7419976" y="2324101"/>
              <a:ext cx="2143124" cy="314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rgbClr val="00675C"/>
                  </a:solidFill>
                  <a:latin typeface="Poppins" panose="00000500000000000000" pitchFamily="2" charset="0"/>
                  <a:cs typeface="Poppins" panose="00000500000000000000" pitchFamily="2" charset="0"/>
                </a:rPr>
                <a:t>Top</a:t>
              </a:r>
              <a:r>
                <a:rPr lang="en-US" sz="1000" baseline="0">
                  <a:solidFill>
                    <a:srgbClr val="00675C"/>
                  </a:solidFill>
                  <a:latin typeface="Poppins" panose="00000500000000000000" pitchFamily="2" charset="0"/>
                  <a:cs typeface="Poppins" panose="00000500000000000000" pitchFamily="2" charset="0"/>
                </a:rPr>
                <a:t> States by Valid Votes</a:t>
              </a:r>
              <a:endParaRPr lang="en-US" sz="1000">
                <a:solidFill>
                  <a:srgbClr val="00675C"/>
                </a:solidFill>
                <a:latin typeface="Poppins" panose="00000500000000000000" pitchFamily="2" charset="0"/>
                <a:cs typeface="Poppins" panose="00000500000000000000" pitchFamily="2" charset="0"/>
              </a:endParaRPr>
            </a:p>
          </xdr:txBody>
        </xdr:sp>
        <xdr:graphicFrame macro="">
          <xdr:nvGraphicFramePr>
            <xdr:cNvPr id="5" name="Chart 4">
              <a:extLst>
                <a:ext uri="{FF2B5EF4-FFF2-40B4-BE49-F238E27FC236}">
                  <a16:creationId xmlns:a16="http://schemas.microsoft.com/office/drawing/2014/main" id="{7D2E2ABE-CC67-4840-B787-9C2280A6D1B3}"/>
                </a:ext>
              </a:extLst>
            </xdr:cNvPr>
            <xdr:cNvGraphicFramePr>
              <a:graphicFrameLocks/>
            </xdr:cNvGraphicFramePr>
          </xdr:nvGraphicFramePr>
          <xdr:xfrm>
            <a:off x="7371373" y="2647950"/>
            <a:ext cx="4830151" cy="2133600"/>
          </xdr:xfrm>
          <a:graphic>
            <a:graphicData uri="http://schemas.openxmlformats.org/drawingml/2006/chart">
              <c:chart xmlns:c="http://schemas.openxmlformats.org/drawingml/2006/chart" xmlns:r="http://schemas.openxmlformats.org/officeDocument/2006/relationships" r:id="rId4"/>
            </a:graphicData>
          </a:graphic>
        </xdr:graphicFrame>
      </xdr:grpSp>
      <xdr:sp macro="" textlink="">
        <xdr:nvSpPr>
          <xdr:cNvPr id="7" name="TextBox 6">
            <a:extLst>
              <a:ext uri="{FF2B5EF4-FFF2-40B4-BE49-F238E27FC236}">
                <a16:creationId xmlns:a16="http://schemas.microsoft.com/office/drawing/2014/main" id="{B0CC753A-090D-83C3-4191-941184231077}"/>
              </a:ext>
            </a:extLst>
          </xdr:cNvPr>
          <xdr:cNvSpPr txBox="1"/>
        </xdr:nvSpPr>
        <xdr:spPr>
          <a:xfrm>
            <a:off x="12496801" y="3224743"/>
            <a:ext cx="2149474" cy="316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rgbClr val="00675C"/>
                </a:solidFill>
                <a:latin typeface="Poppins" panose="00000500000000000000" pitchFamily="2" charset="0"/>
                <a:cs typeface="Poppins" panose="00000500000000000000" pitchFamily="2" charset="0"/>
              </a:rPr>
              <a:t>Voter Turnout</a:t>
            </a:r>
            <a:r>
              <a:rPr lang="en-US" sz="1000" baseline="0">
                <a:solidFill>
                  <a:srgbClr val="00675C"/>
                </a:solidFill>
                <a:latin typeface="Poppins" panose="00000500000000000000" pitchFamily="2" charset="0"/>
                <a:cs typeface="Poppins" panose="00000500000000000000" pitchFamily="2" charset="0"/>
              </a:rPr>
              <a:t> Rate by States</a:t>
            </a:r>
            <a:endParaRPr lang="en-US" sz="1000">
              <a:solidFill>
                <a:srgbClr val="00675C"/>
              </a:solidFill>
              <a:latin typeface="Poppins" panose="00000500000000000000" pitchFamily="2" charset="0"/>
              <a:cs typeface="Poppins" panose="00000500000000000000" pitchFamily="2" charset="0"/>
            </a:endParaRPr>
          </a:p>
        </xdr:txBody>
      </xdr:sp>
      <mc:AlternateContent xmlns:mc="http://schemas.openxmlformats.org/markup-compatibility/2006">
        <mc:Choice xmlns:a14="http://schemas.microsoft.com/office/drawing/2010/main" Requires="a14">
          <xdr:graphicFrame macro="">
            <xdr:nvGraphicFramePr>
              <xdr:cNvPr id="14" name="APC/PDP">
                <a:extLst>
                  <a:ext uri="{FF2B5EF4-FFF2-40B4-BE49-F238E27FC236}">
                    <a16:creationId xmlns:a16="http://schemas.microsoft.com/office/drawing/2014/main" id="{35C10788-FB59-4D72-8C9D-31FDB0233B52}"/>
                  </a:ext>
                </a:extLst>
              </xdr:cNvPr>
              <xdr:cNvGraphicFramePr/>
            </xdr:nvGraphicFramePr>
            <xdr:xfrm>
              <a:off x="14665325" y="1702858"/>
              <a:ext cx="1930399" cy="468842"/>
            </xdr:xfrm>
            <a:graphic>
              <a:graphicData uri="http://schemas.microsoft.com/office/drawing/2010/slicer">
                <sle:slicer xmlns:sle="http://schemas.microsoft.com/office/drawing/2010/slicer" name="APC/PDP"/>
              </a:graphicData>
            </a:graphic>
          </xdr:graphicFrame>
        </mc:Choice>
        <mc:Fallback>
          <xdr:sp macro="" textlink="">
            <xdr:nvSpPr>
              <xdr:cNvPr id="0" name=""/>
              <xdr:cNvSpPr>
                <a:spLocks noTextEdit="1"/>
              </xdr:cNvSpPr>
            </xdr:nvSpPr>
            <xdr:spPr>
              <a:xfrm>
                <a:off x="14508959" y="1444605"/>
                <a:ext cx="1944631" cy="4783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5" name="Geopolitical zone">
                <a:extLst>
                  <a:ext uri="{FF2B5EF4-FFF2-40B4-BE49-F238E27FC236}">
                    <a16:creationId xmlns:a16="http://schemas.microsoft.com/office/drawing/2014/main" id="{AFB2054D-5D78-4591-9ABD-65848AA608F6}"/>
                  </a:ext>
                </a:extLst>
              </xdr:cNvPr>
              <xdr:cNvGraphicFramePr/>
            </xdr:nvGraphicFramePr>
            <xdr:xfrm>
              <a:off x="12344400" y="2181225"/>
              <a:ext cx="4405842" cy="899582"/>
            </xdr:xfrm>
            <a:graphic>
              <a:graphicData uri="http://schemas.microsoft.com/office/drawing/2010/slicer">
                <sle:slicer xmlns:sle="http://schemas.microsoft.com/office/drawing/2010/slicer" name="Geopolitical zone"/>
              </a:graphicData>
            </a:graphic>
          </xdr:graphicFrame>
        </mc:Choice>
        <mc:Fallback>
          <xdr:sp macro="" textlink="">
            <xdr:nvSpPr>
              <xdr:cNvPr id="0" name=""/>
              <xdr:cNvSpPr>
                <a:spLocks noTextEdit="1"/>
              </xdr:cNvSpPr>
            </xdr:nvSpPr>
            <xdr:spPr>
              <a:xfrm>
                <a:off x="12170923" y="1932719"/>
                <a:ext cx="4438325" cy="9179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16" name="Picture 15">
            <a:extLst>
              <a:ext uri="{FF2B5EF4-FFF2-40B4-BE49-F238E27FC236}">
                <a16:creationId xmlns:a16="http://schemas.microsoft.com/office/drawing/2014/main" id="{300C0A39-BDE5-10A2-68EE-0D903690C70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018367" y="1828081"/>
            <a:ext cx="392641" cy="392641"/>
          </a:xfrm>
          <a:prstGeom prst="rect">
            <a:avLst/>
          </a:prstGeom>
        </xdr:spPr>
      </xdr:pic>
      <xdr:pic>
        <xdr:nvPicPr>
          <xdr:cNvPr id="18" name="Picture 17">
            <a:extLst>
              <a:ext uri="{FF2B5EF4-FFF2-40B4-BE49-F238E27FC236}">
                <a16:creationId xmlns:a16="http://schemas.microsoft.com/office/drawing/2014/main" id="{AC661746-4D83-4EB0-B910-C01871D63267}"/>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4540163" y="5702131"/>
            <a:ext cx="1071372" cy="1072431"/>
          </a:xfrm>
          <a:prstGeom prst="rect">
            <a:avLst/>
          </a:prstGeom>
        </xdr:spPr>
      </xdr:pic>
      <xdr:sp macro="[0]!ClearSlicer" textlink="">
        <xdr:nvSpPr>
          <xdr:cNvPr id="31" name="Rectangle: Rounded Corners 30">
            <a:extLst>
              <a:ext uri="{FF2B5EF4-FFF2-40B4-BE49-F238E27FC236}">
                <a16:creationId xmlns:a16="http://schemas.microsoft.com/office/drawing/2014/main" id="{CE93FDE7-23DE-192E-9490-FA068C1E53DC}"/>
              </a:ext>
            </a:extLst>
          </xdr:cNvPr>
          <xdr:cNvSpPr/>
        </xdr:nvSpPr>
        <xdr:spPr>
          <a:xfrm>
            <a:off x="12449175" y="1789642"/>
            <a:ext cx="1137708" cy="277283"/>
          </a:xfrm>
          <a:prstGeom prst="roundRect">
            <a:avLst/>
          </a:prstGeom>
          <a:solidFill>
            <a:srgbClr val="0079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DDEEEA"/>
                </a:solidFill>
              </a:rPr>
              <a:t>Clear Slicers</a:t>
            </a:r>
          </a:p>
        </xdr:txBody>
      </xdr:sp>
      <xdr:pic>
        <xdr:nvPicPr>
          <xdr:cNvPr id="59" name="Picture 58">
            <a:extLst>
              <a:ext uri="{FF2B5EF4-FFF2-40B4-BE49-F238E27FC236}">
                <a16:creationId xmlns:a16="http://schemas.microsoft.com/office/drawing/2014/main" id="{E219E16E-6DD3-45AE-9CE2-B1CEA195740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228666" y="1780117"/>
            <a:ext cx="468016" cy="468016"/>
          </a:xfrm>
          <a:prstGeom prst="rect">
            <a:avLst/>
          </a:prstGeom>
        </xdr:spPr>
      </xdr:pic>
      <xdr:grpSp>
        <xdr:nvGrpSpPr>
          <xdr:cNvPr id="66" name="Group 65">
            <a:extLst>
              <a:ext uri="{FF2B5EF4-FFF2-40B4-BE49-F238E27FC236}">
                <a16:creationId xmlns:a16="http://schemas.microsoft.com/office/drawing/2014/main" id="{7CA274E0-6386-29CE-A2EB-A2AEE263DEEF}"/>
              </a:ext>
            </a:extLst>
          </xdr:cNvPr>
          <xdr:cNvGrpSpPr/>
        </xdr:nvGrpSpPr>
        <xdr:grpSpPr>
          <a:xfrm>
            <a:off x="7499020" y="1080559"/>
            <a:ext cx="4653492" cy="536575"/>
            <a:chOff x="7475737" y="1076326"/>
            <a:chExt cx="4638675" cy="533400"/>
          </a:xfrm>
        </xdr:grpSpPr>
        <xdr:sp macro="" textlink="">
          <xdr:nvSpPr>
            <xdr:cNvPr id="58" name="Rectangle: Rounded Corners 57">
              <a:extLst>
                <a:ext uri="{FF2B5EF4-FFF2-40B4-BE49-F238E27FC236}">
                  <a16:creationId xmlns:a16="http://schemas.microsoft.com/office/drawing/2014/main" id="{3BBF50A4-DFDB-966B-E797-E04A23D03EF5}"/>
                </a:ext>
              </a:extLst>
            </xdr:cNvPr>
            <xdr:cNvSpPr/>
          </xdr:nvSpPr>
          <xdr:spPr>
            <a:xfrm>
              <a:off x="7475737" y="1076326"/>
              <a:ext cx="4638675" cy="533400"/>
            </a:xfrm>
            <a:prstGeom prst="roundRect">
              <a:avLst>
                <a:gd name="adj" fmla="val 23853"/>
              </a:avLst>
            </a:prstGeom>
            <a:solidFill>
              <a:srgbClr val="99C2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1" name="Picture 60">
              <a:hlinkClick xmlns:r="http://schemas.openxmlformats.org/officeDocument/2006/relationships" r:id="rId8"/>
              <a:extLst>
                <a:ext uri="{FF2B5EF4-FFF2-40B4-BE49-F238E27FC236}">
                  <a16:creationId xmlns:a16="http://schemas.microsoft.com/office/drawing/2014/main" id="{C74EF726-247F-45BF-F5E7-657CBEF9DFCD}"/>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9593888" y="1131075"/>
              <a:ext cx="360000" cy="360000"/>
            </a:xfrm>
            <a:prstGeom prst="rect">
              <a:avLst/>
            </a:prstGeom>
          </xdr:spPr>
        </xdr:pic>
        <xdr:pic>
          <xdr:nvPicPr>
            <xdr:cNvPr id="63" name="Picture 62">
              <a:hlinkClick xmlns:r="http://schemas.openxmlformats.org/officeDocument/2006/relationships" r:id="rId10"/>
              <a:extLst>
                <a:ext uri="{FF2B5EF4-FFF2-40B4-BE49-F238E27FC236}">
                  <a16:creationId xmlns:a16="http://schemas.microsoft.com/office/drawing/2014/main" id="{0D343824-B5CC-C097-172C-FC6C87C37AF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836675" y="1149075"/>
              <a:ext cx="324000" cy="324000"/>
            </a:xfrm>
            <a:prstGeom prst="rect">
              <a:avLst/>
            </a:prstGeom>
          </xdr:spPr>
        </xdr:pic>
        <xdr:pic>
          <xdr:nvPicPr>
            <xdr:cNvPr id="65" name="Picture 64">
              <a:hlinkClick xmlns:r="http://schemas.openxmlformats.org/officeDocument/2006/relationships" r:id="rId12"/>
              <a:extLst>
                <a:ext uri="{FF2B5EF4-FFF2-40B4-BE49-F238E27FC236}">
                  <a16:creationId xmlns:a16="http://schemas.microsoft.com/office/drawing/2014/main" id="{2AEF0814-8F4A-9561-23DD-935633467383}"/>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1387100" y="1131075"/>
              <a:ext cx="360000" cy="360000"/>
            </a:xfrm>
            <a:prstGeom prst="rect">
              <a:avLst/>
            </a:prstGeom>
          </xdr:spPr>
        </xdr:pic>
      </xdr:grpSp>
      <xdr:pic>
        <xdr:nvPicPr>
          <xdr:cNvPr id="70" name="Picture 69">
            <a:hlinkClick xmlns:r="http://schemas.openxmlformats.org/officeDocument/2006/relationships" r:id="rId14"/>
            <a:extLst>
              <a:ext uri="{FF2B5EF4-FFF2-40B4-BE49-F238E27FC236}">
                <a16:creationId xmlns:a16="http://schemas.microsoft.com/office/drawing/2014/main" id="{3E2A1C1D-50F3-97B2-E0C8-1194E5A36C44}"/>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3208867" y="7772318"/>
            <a:ext cx="296334" cy="296334"/>
          </a:xfrm>
          <a:prstGeom prst="rect">
            <a:avLst/>
          </a:prstGeom>
        </xdr:spPr>
      </xdr:pic>
      <xdr:pic>
        <xdr:nvPicPr>
          <xdr:cNvPr id="72" name="Picture 71">
            <a:extLst>
              <a:ext uri="{FF2B5EF4-FFF2-40B4-BE49-F238E27FC236}">
                <a16:creationId xmlns:a16="http://schemas.microsoft.com/office/drawing/2014/main" id="{0E08AE6B-4400-6ABD-DE08-8926CDE20D3C}"/>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483999" y="7775985"/>
            <a:ext cx="307201" cy="307201"/>
          </a:xfrm>
          <a:prstGeom prst="rect">
            <a:avLst/>
          </a:prstGeom>
        </xdr:spPr>
      </xdr:pic>
      <xdr:sp macro="" textlink="">
        <xdr:nvSpPr>
          <xdr:cNvPr id="73" name="TextBox 72">
            <a:extLst>
              <a:ext uri="{FF2B5EF4-FFF2-40B4-BE49-F238E27FC236}">
                <a16:creationId xmlns:a16="http://schemas.microsoft.com/office/drawing/2014/main" id="{E91F3B26-347C-03EE-3718-085364DB6128}"/>
              </a:ext>
            </a:extLst>
          </xdr:cNvPr>
          <xdr:cNvSpPr txBox="1"/>
        </xdr:nvSpPr>
        <xdr:spPr>
          <a:xfrm>
            <a:off x="3422649" y="7774294"/>
            <a:ext cx="1767415" cy="315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800">
                <a:solidFill>
                  <a:srgbClr val="00675C"/>
                </a:solidFill>
                <a:latin typeface="Poppins" panose="00000500000000000000" pitchFamily="2" charset="0"/>
                <a:cs typeface="Poppins" panose="00000500000000000000" pitchFamily="2" charset="0"/>
              </a:rPr>
              <a:t>Abdulsamad Kudehinbu</a:t>
            </a:r>
          </a:p>
        </xdr:txBody>
      </xdr:sp>
      <xdr:sp macro="" textlink="">
        <xdr:nvSpPr>
          <xdr:cNvPr id="74" name="TextBox 73">
            <a:extLst>
              <a:ext uri="{FF2B5EF4-FFF2-40B4-BE49-F238E27FC236}">
                <a16:creationId xmlns:a16="http://schemas.microsoft.com/office/drawing/2014/main" id="{8EBAF20C-0461-75F9-F1AD-CC90203BB431}"/>
              </a:ext>
            </a:extLst>
          </xdr:cNvPr>
          <xdr:cNvSpPr txBox="1"/>
        </xdr:nvSpPr>
        <xdr:spPr>
          <a:xfrm>
            <a:off x="5700180" y="7788830"/>
            <a:ext cx="1107016" cy="315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800">
                <a:solidFill>
                  <a:srgbClr val="00675C"/>
                </a:solidFill>
                <a:latin typeface="Poppins" panose="00000500000000000000" pitchFamily="2" charset="0"/>
                <a:cs typeface="Poppins" panose="00000500000000000000" pitchFamily="2" charset="0"/>
              </a:rPr>
              <a:t>kudehinbu_jr</a:t>
            </a:r>
          </a:p>
        </xdr:txBody>
      </xdr:sp>
      <xdr:sp macro="" textlink="">
        <xdr:nvSpPr>
          <xdr:cNvPr id="75" name="Rectangle: Rounded Corners 74">
            <a:hlinkClick xmlns:r="http://schemas.openxmlformats.org/officeDocument/2006/relationships" r:id="rId17"/>
            <a:extLst>
              <a:ext uri="{FF2B5EF4-FFF2-40B4-BE49-F238E27FC236}">
                <a16:creationId xmlns:a16="http://schemas.microsoft.com/office/drawing/2014/main" id="{75B1F01D-4038-FEB7-4D00-31A6D9379580}"/>
              </a:ext>
            </a:extLst>
          </xdr:cNvPr>
          <xdr:cNvSpPr/>
        </xdr:nvSpPr>
        <xdr:spPr>
          <a:xfrm>
            <a:off x="7010397" y="7806267"/>
            <a:ext cx="948266" cy="237066"/>
          </a:xfrm>
          <a:prstGeom prst="roundRect">
            <a:avLst/>
          </a:prstGeom>
          <a:solidFill>
            <a:srgbClr val="0079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E8F5F3"/>
                </a:solidFill>
              </a:rPr>
              <a:t>Portfolio</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114300</xdr:colOff>
      <xdr:row>3</xdr:row>
      <xdr:rowOff>129540</xdr:rowOff>
    </xdr:from>
    <xdr:to>
      <xdr:col>4</xdr:col>
      <xdr:colOff>861060</xdr:colOff>
      <xdr:row>3</xdr:row>
      <xdr:rowOff>358140</xdr:rowOff>
    </xdr:to>
    <xdr:sp macro="" textlink="">
      <xdr:nvSpPr>
        <xdr:cNvPr id="12" name="Rectangle: Rounded Corners 11">
          <a:extLst>
            <a:ext uri="{FF2B5EF4-FFF2-40B4-BE49-F238E27FC236}">
              <a16:creationId xmlns:a16="http://schemas.microsoft.com/office/drawing/2014/main" id="{025522DE-E28F-90A9-2F1B-AAE7804653CC}"/>
            </a:ext>
          </a:extLst>
        </xdr:cNvPr>
        <xdr:cNvSpPr/>
      </xdr:nvSpPr>
      <xdr:spPr>
        <a:xfrm>
          <a:off x="4853940" y="792480"/>
          <a:ext cx="746760" cy="228600"/>
        </a:xfrm>
        <a:prstGeom prst="roundRect">
          <a:avLst/>
        </a:prstGeom>
        <a:solidFill>
          <a:srgbClr val="0067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114300</xdr:colOff>
      <xdr:row>4</xdr:row>
      <xdr:rowOff>137160</xdr:rowOff>
    </xdr:from>
    <xdr:to>
      <xdr:col>4</xdr:col>
      <xdr:colOff>861060</xdr:colOff>
      <xdr:row>4</xdr:row>
      <xdr:rowOff>365760</xdr:rowOff>
    </xdr:to>
    <xdr:sp macro="" textlink="">
      <xdr:nvSpPr>
        <xdr:cNvPr id="13" name="Rectangle: Rounded Corners 12">
          <a:extLst>
            <a:ext uri="{FF2B5EF4-FFF2-40B4-BE49-F238E27FC236}">
              <a16:creationId xmlns:a16="http://schemas.microsoft.com/office/drawing/2014/main" id="{B6D88AE9-F1AD-B26E-D9B8-4E0ABB8A6F15}"/>
            </a:ext>
          </a:extLst>
        </xdr:cNvPr>
        <xdr:cNvSpPr/>
      </xdr:nvSpPr>
      <xdr:spPr>
        <a:xfrm>
          <a:off x="4853940" y="1242060"/>
          <a:ext cx="746760" cy="228600"/>
        </a:xfrm>
        <a:prstGeom prst="roundRect">
          <a:avLst/>
        </a:prstGeom>
        <a:solidFill>
          <a:srgbClr val="33908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114300</xdr:colOff>
      <xdr:row>5</xdr:row>
      <xdr:rowOff>114300</xdr:rowOff>
    </xdr:from>
    <xdr:to>
      <xdr:col>4</xdr:col>
      <xdr:colOff>861060</xdr:colOff>
      <xdr:row>5</xdr:row>
      <xdr:rowOff>342900</xdr:rowOff>
    </xdr:to>
    <xdr:sp macro="" textlink="">
      <xdr:nvSpPr>
        <xdr:cNvPr id="14" name="Rectangle: Rounded Corners 13">
          <a:extLst>
            <a:ext uri="{FF2B5EF4-FFF2-40B4-BE49-F238E27FC236}">
              <a16:creationId xmlns:a16="http://schemas.microsoft.com/office/drawing/2014/main" id="{AFF7DED9-2529-AD66-1EBB-D08AD7771B51}"/>
            </a:ext>
          </a:extLst>
        </xdr:cNvPr>
        <xdr:cNvSpPr/>
      </xdr:nvSpPr>
      <xdr:spPr>
        <a:xfrm>
          <a:off x="4853940" y="1661160"/>
          <a:ext cx="746760" cy="228600"/>
        </a:xfrm>
        <a:prstGeom prst="roundRect">
          <a:avLst/>
        </a:prstGeom>
        <a:solidFill>
          <a:srgbClr val="66A9A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114300</xdr:colOff>
      <xdr:row>6</xdr:row>
      <xdr:rowOff>91440</xdr:rowOff>
    </xdr:from>
    <xdr:to>
      <xdr:col>4</xdr:col>
      <xdr:colOff>861060</xdr:colOff>
      <xdr:row>6</xdr:row>
      <xdr:rowOff>320040</xdr:rowOff>
    </xdr:to>
    <xdr:sp macro="" textlink="">
      <xdr:nvSpPr>
        <xdr:cNvPr id="15" name="Rectangle: Rounded Corners 14">
          <a:extLst>
            <a:ext uri="{FF2B5EF4-FFF2-40B4-BE49-F238E27FC236}">
              <a16:creationId xmlns:a16="http://schemas.microsoft.com/office/drawing/2014/main" id="{73C4BB3A-931D-F9DF-688A-00EC1D276D96}"/>
            </a:ext>
          </a:extLst>
        </xdr:cNvPr>
        <xdr:cNvSpPr/>
      </xdr:nvSpPr>
      <xdr:spPr>
        <a:xfrm>
          <a:off x="4853940" y="2080260"/>
          <a:ext cx="746760" cy="228600"/>
        </a:xfrm>
        <a:prstGeom prst="roundRect">
          <a:avLst/>
        </a:prstGeom>
        <a:solidFill>
          <a:srgbClr val="99C2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114300</xdr:colOff>
      <xdr:row>7</xdr:row>
      <xdr:rowOff>68580</xdr:rowOff>
    </xdr:from>
    <xdr:to>
      <xdr:col>4</xdr:col>
      <xdr:colOff>861060</xdr:colOff>
      <xdr:row>7</xdr:row>
      <xdr:rowOff>297180</xdr:rowOff>
    </xdr:to>
    <xdr:sp macro="" textlink="">
      <xdr:nvSpPr>
        <xdr:cNvPr id="16" name="Rectangle: Rounded Corners 15">
          <a:extLst>
            <a:ext uri="{FF2B5EF4-FFF2-40B4-BE49-F238E27FC236}">
              <a16:creationId xmlns:a16="http://schemas.microsoft.com/office/drawing/2014/main" id="{96B38580-C824-DD7C-8AD9-1A602AE6E8F4}"/>
            </a:ext>
          </a:extLst>
        </xdr:cNvPr>
        <xdr:cNvSpPr/>
      </xdr:nvSpPr>
      <xdr:spPr>
        <a:xfrm>
          <a:off x="4853940" y="2499360"/>
          <a:ext cx="746760" cy="228600"/>
        </a:xfrm>
        <a:prstGeom prst="roundRect">
          <a:avLst/>
        </a:prstGeom>
        <a:solidFill>
          <a:srgbClr val="CCE4D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dulsamad Kudehinbu" refreshedDate="45854.983128935186" createdVersion="8" refreshedVersion="8" minRefreshableVersion="3" recordCount="37" xr:uid="{18F2CF95-D4EB-4725-8BEE-285EC8180632}">
  <cacheSource type="worksheet">
    <worksheetSource name="DATA"/>
  </cacheSource>
  <cacheFields count="15">
    <cacheField name="State" numFmtId="0">
      <sharedItems count="38">
        <s v="Abia"/>
        <s v="Adamawa"/>
        <s v="Akwa Ibom"/>
        <s v="Anambra"/>
        <s v="Bauchi"/>
        <s v="Bayelsa"/>
        <s v="Benue"/>
        <s v="Borno"/>
        <s v="Cross river"/>
        <s v="Delta"/>
        <s v="Ebonyi"/>
        <s v="Edo"/>
        <s v="Ekiti"/>
        <s v="Enugu"/>
        <s v="Gombe"/>
        <s v="Imo"/>
        <s v="Jigawa"/>
        <s v="Kaduna"/>
        <s v="Kano"/>
        <s v="Katsina"/>
        <s v="Kebbi"/>
        <s v="Kogi"/>
        <s v="Kwara"/>
        <s v="Lagos"/>
        <s v="Nasarawa"/>
        <s v="Niger"/>
        <s v="Ogun"/>
        <s v="Ondo"/>
        <s v="Osun"/>
        <s v="Oyo"/>
        <s v="Plateau"/>
        <s v="Rivers"/>
        <s v="Sokoto"/>
        <s v="Taraba"/>
        <s v="Yobe"/>
        <s v="Zamfara"/>
        <s v="Abuja"/>
        <s v="FCT" u="1"/>
      </sharedItems>
    </cacheField>
    <cacheField name="Geopolitical zone" numFmtId="0">
      <sharedItems count="6">
        <s v="South East"/>
        <s v="North East"/>
        <s v="South South"/>
        <s v="North Central"/>
        <s v="South West"/>
        <s v="North West"/>
      </sharedItems>
    </cacheField>
    <cacheField name="Nr of Reg Voters" numFmtId="0">
      <sharedItems containsSemiMixedTypes="0" containsString="0" containsNumber="1" containsInteger="1" minValue="899919" maxValue="6313507"/>
    </cacheField>
    <cacheField name="Accredited Voters" numFmtId="0">
      <sharedItems containsSemiMixedTypes="0" containsString="0" containsNumber="1" containsInteger="1" minValue="344237" maxValue="2006410"/>
    </cacheField>
    <cacheField name="Votes cast" numFmtId="0">
      <sharedItems containsSemiMixedTypes="0" containsString="0" containsNumber="1" containsInteger="1" minValue="335856" maxValue="1964751"/>
    </cacheField>
    <cacheField name="Valid votes" numFmtId="0">
      <sharedItems containsSemiMixedTypes="0" containsString="0" containsNumber="1" containsInteger="1" minValue="321767" maxValue="1891134"/>
    </cacheField>
    <cacheField name="Rejected votes" numFmtId="0">
      <sharedItems containsSemiMixedTypes="0" containsString="0" containsNumber="1" containsInteger="1" minValue="12577" maxValue="73617"/>
    </cacheField>
    <cacheField name="PDP Votes" numFmtId="0">
      <sharedItems containsSemiMixedTypes="0" containsString="0" containsNumber="1" containsInteger="1" minValue="50763" maxValue="649612"/>
    </cacheField>
    <cacheField name="APC Votes" numFmtId="0">
      <sharedItems containsSemiMixedTypes="0" containsString="0" containsNumber="1" containsInteger="1" minValue="33298" maxValue="1464768"/>
    </cacheField>
    <cacheField name="Other Parties Votes" numFmtId="0">
      <sharedItems containsSemiMixedTypes="0" containsString="0" containsNumber="1" containsInteger="1" minValue="5013" maxValue="104612"/>
    </cacheField>
    <cacheField name="PDP Votes  %" numFmtId="0">
      <sharedItems containsSemiMixedTypes="0" containsString="0" containsNumber="1" minValue="7.8E-2" maxValue="0.86629999999999996"/>
    </cacheField>
    <cacheField name="APC Votes %" numFmtId="0">
      <sharedItems containsSemiMixedTypes="0" containsString="0" containsNumber="1" minValue="5.5E-2" maxValue="0.90939999999999999"/>
    </cacheField>
    <cacheField name="Other Parties Vote %" numFmtId="0">
      <sharedItems containsSemiMixedTypes="0" containsString="0" containsNumber="1" minValue="9.9000000000000199E-3" maxValue="0.15559999999999999"/>
    </cacheField>
    <cacheField name="Voter Turnout %" numFmtId="0">
      <sharedItems containsSemiMixedTypes="0" containsString="0" containsNumber="1" minValue="0.183192954407115" maxValue="0.54631004295238395"/>
    </cacheField>
    <cacheField name="APC/PDP" numFmtId="0">
      <sharedItems count="2">
        <s v="PDP States"/>
        <s v="APC States"/>
      </sharedItems>
    </cacheField>
  </cacheFields>
  <extLst>
    <ext xmlns:x14="http://schemas.microsoft.com/office/spreadsheetml/2009/9/main" uri="{725AE2AE-9491-48be-B2B4-4EB974FC3084}">
      <x14:pivotCacheDefinition pivotCacheId="13544275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
  <r>
    <x v="0"/>
    <x v="0"/>
    <n v="1793861"/>
    <n v="361561"/>
    <n v="344471"/>
    <n v="323291"/>
    <n v="21180"/>
    <n v="219698"/>
    <n v="85058"/>
    <n v="18535"/>
    <n v="0.67959999999999998"/>
    <n v="0.2631"/>
    <n v="5.7299999999999997E-2"/>
    <n v="0.19202769891312599"/>
    <x v="0"/>
  </r>
  <r>
    <x v="1"/>
    <x v="1"/>
    <n v="1959322"/>
    <n v="874920"/>
    <n v="860756"/>
    <n v="811534"/>
    <n v="49222"/>
    <n v="410266"/>
    <n v="378078"/>
    <n v="23190"/>
    <n v="0.50549999999999995"/>
    <n v="0.46589999999999998"/>
    <n v="2.8600000000000101E-2"/>
    <n v="0.43931319099157801"/>
    <x v="0"/>
  </r>
  <r>
    <x v="2"/>
    <x v="2"/>
    <n v="2119727"/>
    <n v="695677"/>
    <n v="605140"/>
    <n v="578775"/>
    <n v="26365"/>
    <n v="395832"/>
    <n v="175429"/>
    <n v="7514"/>
    <n v="0.68389999999999995"/>
    <n v="0.30309999999999998"/>
    <n v="1.30000000000001E-2"/>
    <n v="0.28548015852984798"/>
    <x v="0"/>
  </r>
  <r>
    <x v="3"/>
    <x v="0"/>
    <n v="2389332"/>
    <n v="675273"/>
    <n v="625035"/>
    <n v="605734"/>
    <n v="19301"/>
    <n v="524738"/>
    <n v="33298"/>
    <n v="47698"/>
    <n v="0.86629999999999996"/>
    <n v="5.5E-2"/>
    <n v="7.8700000000000006E-2"/>
    <n v="0.26159403548774302"/>
    <x v="0"/>
  </r>
  <r>
    <x v="4"/>
    <x v="1"/>
    <n v="2453512"/>
    <n v="1075330"/>
    <n v="1061955"/>
    <n v="1024307"/>
    <n v="37648"/>
    <n v="209313"/>
    <n v="798428"/>
    <n v="16566"/>
    <n v="0.20430000000000001"/>
    <n v="0.77949999999999997"/>
    <n v="1.6199999999999999E-2"/>
    <n v="0.43283057103450101"/>
    <x v="1"/>
  </r>
  <r>
    <x v="5"/>
    <x v="2"/>
    <n v="923182"/>
    <n v="344237"/>
    <n v="335856"/>
    <n v="321767"/>
    <n v="14089"/>
    <n v="197933"/>
    <n v="118821"/>
    <n v="5013"/>
    <n v="0.61509999999999998"/>
    <n v="0.36930000000000002"/>
    <n v="1.56000000000001E-2"/>
    <n v="0.36380258713883101"/>
    <x v="0"/>
  </r>
  <r>
    <x v="6"/>
    <x v="3"/>
    <n v="2391276"/>
    <n v="786069"/>
    <n v="763872"/>
    <n v="728912"/>
    <n v="34960"/>
    <n v="356817"/>
    <n v="347668"/>
    <n v="24427"/>
    <n v="0.48949999999999999"/>
    <n v="0.47699999999999998"/>
    <n v="3.3500000000000099E-2"/>
    <n v="0.31944116864803601"/>
    <x v="0"/>
  </r>
  <r>
    <x v="7"/>
    <x v="1"/>
    <n v="2319434"/>
    <n v="987290"/>
    <n v="955205"/>
    <n v="919786"/>
    <n v="35419"/>
    <n v="71788"/>
    <n v="836496"/>
    <n v="11502"/>
    <n v="7.8E-2"/>
    <n v="0.90939999999999999"/>
    <n v="1.2600000000000101E-2"/>
    <n v="0.41182676463309598"/>
    <x v="1"/>
  </r>
  <r>
    <x v="8"/>
    <x v="2"/>
    <n v="1512915"/>
    <n v="461033"/>
    <n v="446046"/>
    <n v="421901"/>
    <n v="24145"/>
    <n v="295737"/>
    <n v="117302"/>
    <n v="8862"/>
    <n v="0.70099999999999996"/>
    <n v="0.27800000000000002"/>
    <n v="2.1000000000000001E-2"/>
    <n v="0.29482555199730298"/>
    <x v="0"/>
  </r>
  <r>
    <x v="9"/>
    <x v="2"/>
    <n v="2719313"/>
    <n v="891647"/>
    <n v="882254"/>
    <n v="829762"/>
    <n v="52492"/>
    <n v="594068"/>
    <n v="221292"/>
    <n v="14402"/>
    <n v="0.71589999999999998"/>
    <n v="0.26669999999999999"/>
    <n v="1.7400000000000099E-2"/>
    <n v="0.32444003319956199"/>
    <x v="0"/>
  </r>
  <r>
    <x v="10"/>
    <x v="0"/>
    <n v="1392931"/>
    <n v="391747"/>
    <n v="379394"/>
    <n v="359131"/>
    <n v="20263"/>
    <n v="258573"/>
    <n v="90726"/>
    <n v="9832"/>
    <n v="0.72"/>
    <n v="0.25259999999999999"/>
    <n v="2.7400000000000101E-2"/>
    <n v="0.27237099325092201"/>
    <x v="0"/>
  </r>
  <r>
    <x v="11"/>
    <x v="2"/>
    <n v="2150127"/>
    <n v="604915"/>
    <n v="599228"/>
    <n v="560711"/>
    <n v="38517"/>
    <n v="275691"/>
    <n v="267842"/>
    <n v="17178"/>
    <n v="0.49170000000000003"/>
    <n v="0.47770000000000001"/>
    <n v="3.0599999999999999E-2"/>
    <n v="0.27869423527075399"/>
    <x v="0"/>
  </r>
  <r>
    <x v="12"/>
    <x v="4"/>
    <n v="899919"/>
    <n v="395741"/>
    <n v="393709"/>
    <n v="381132"/>
    <n v="12577"/>
    <n v="154032"/>
    <n v="219231"/>
    <n v="7869"/>
    <n v="0.40410000000000001"/>
    <n v="0.57520000000000004"/>
    <n v="2.0699999999999899E-2"/>
    <n v="0.43749381888814398"/>
    <x v="1"/>
  </r>
  <r>
    <x v="13"/>
    <x v="0"/>
    <n v="1935168"/>
    <n v="452765"/>
    <n v="451063"/>
    <n v="421014"/>
    <n v="30049"/>
    <n v="355553"/>
    <n v="54423"/>
    <n v="11038"/>
    <n v="0.84450000000000003"/>
    <n v="0.1293"/>
    <n v="2.6200000000000001E-2"/>
    <n v="0.23308725650692899"/>
    <x v="0"/>
  </r>
  <r>
    <x v="14"/>
    <x v="1"/>
    <n v="1385191"/>
    <n v="604240"/>
    <n v="580649"/>
    <n v="554203"/>
    <n v="26446"/>
    <n v="138484"/>
    <n v="402961"/>
    <n v="12758"/>
    <n v="0.24990000000000001"/>
    <n v="0.72709999999999997"/>
    <n v="2.3E-2"/>
    <n v="0.41918334727846202"/>
    <x v="1"/>
  </r>
  <r>
    <x v="15"/>
    <x v="0"/>
    <n v="2037569"/>
    <n v="585741"/>
    <n v="542777"/>
    <n v="511586"/>
    <n v="31191"/>
    <n v="334923"/>
    <n v="140463"/>
    <n v="36200"/>
    <n v="0.65469999999999995"/>
    <n v="0.27460000000000001"/>
    <n v="7.0699999999999999E-2"/>
    <n v="0.26638459850930202"/>
    <x v="0"/>
  </r>
  <r>
    <x v="16"/>
    <x v="5"/>
    <n v="2104889"/>
    <n v="1171801"/>
    <n v="1149922"/>
    <n v="1106244"/>
    <n v="43678"/>
    <n v="289895"/>
    <n v="794738"/>
    <n v="21611"/>
    <n v="0.2621"/>
    <n v="0.71840000000000004"/>
    <n v="1.95E-2"/>
    <n v="0.54631004295238395"/>
    <x v="1"/>
  </r>
  <r>
    <x v="17"/>
    <x v="5"/>
    <n v="3861033"/>
    <n v="1757868"/>
    <n v="1709005"/>
    <n v="1663603"/>
    <n v="45402"/>
    <n v="649612"/>
    <n v="993445"/>
    <n v="20546"/>
    <n v="0.39050000000000001"/>
    <n v="0.59719999999999995"/>
    <n v="1.23E-2"/>
    <n v="0.44262895447928002"/>
    <x v="1"/>
  </r>
  <r>
    <x v="18"/>
    <x v="5"/>
    <n v="5391581"/>
    <n v="2006410"/>
    <n v="1964751"/>
    <n v="1891134"/>
    <n v="73617"/>
    <n v="391593"/>
    <n v="1464768"/>
    <n v="34773"/>
    <n v="0.20710000000000001"/>
    <n v="0.77449999999999997"/>
    <n v="1.84E-2"/>
    <n v="0.36441092139763798"/>
    <x v="1"/>
  </r>
  <r>
    <x v="19"/>
    <x v="5"/>
    <n v="3210422"/>
    <n v="1628865"/>
    <n v="1619185"/>
    <n v="1555473"/>
    <n v="63712"/>
    <n v="308056"/>
    <n v="1232133"/>
    <n v="15284"/>
    <n v="0.19800000000000001"/>
    <n v="0.79210000000000003"/>
    <n v="9.9000000000000199E-3"/>
    <n v="0.50435269880408196"/>
    <x v="1"/>
  </r>
  <r>
    <x v="20"/>
    <x v="5"/>
    <n v="1802697"/>
    <n v="835238"/>
    <n v="803755"/>
    <n v="756605"/>
    <n v="47150"/>
    <n v="154282"/>
    <n v="581552"/>
    <n v="20771"/>
    <n v="0.2039"/>
    <n v="0.76859999999999995"/>
    <n v="2.7500000000000101E-2"/>
    <n v="0.445862504902377"/>
    <x v="1"/>
  </r>
  <r>
    <x v="21"/>
    <x v="3"/>
    <n v="1640449"/>
    <n v="570773"/>
    <n v="553496"/>
    <n v="521016"/>
    <n v="32480"/>
    <n v="218207"/>
    <n v="285894"/>
    <n v="16915"/>
    <n v="0.41880000000000001"/>
    <n v="0.54869999999999997"/>
    <n v="3.2500000000000001E-2"/>
    <n v="0.337405186019194"/>
    <x v="1"/>
  </r>
  <r>
    <x v="22"/>
    <x v="3"/>
    <n v="1401895"/>
    <n v="489482"/>
    <n v="486254"/>
    <n v="459676"/>
    <n v="26578"/>
    <n v="138184"/>
    <n v="308984"/>
    <n v="12508"/>
    <n v="0.30059999999999998"/>
    <n v="0.67220000000000002"/>
    <n v="2.7199999999999998E-2"/>
    <n v="0.34685479297664901"/>
    <x v="1"/>
  </r>
  <r>
    <x v="23"/>
    <x v="4"/>
    <n v="6313507"/>
    <n v="1196490"/>
    <n v="1156590"/>
    <n v="1089567"/>
    <n v="67023"/>
    <n v="448015"/>
    <n v="580825"/>
    <n v="60727"/>
    <n v="0.41120000000000001"/>
    <n v="0.53310000000000002"/>
    <n v="5.57E-2"/>
    <n v="0.183192954407115"/>
    <x v="1"/>
  </r>
  <r>
    <x v="24"/>
    <x v="3"/>
    <n v="1509481"/>
    <n v="613720"/>
    <n v="599399"/>
    <n v="580778"/>
    <n v="18621"/>
    <n v="283847"/>
    <n v="289903"/>
    <n v="7028"/>
    <n v="0.48870000000000002"/>
    <n v="0.49919999999999998"/>
    <n v="1.21E-2"/>
    <n v="0.39708946319960298"/>
    <x v="1"/>
  </r>
  <r>
    <x v="25"/>
    <x v="3"/>
    <n v="2375568"/>
    <n v="911964"/>
    <n v="896976"/>
    <n v="851937"/>
    <n v="45039"/>
    <n v="218052"/>
    <n v="612371"/>
    <n v="21514"/>
    <n v="0.25590000000000002"/>
    <n v="0.71879999999999999"/>
    <n v="2.53E-2"/>
    <n v="0.37758380311571799"/>
    <x v="1"/>
  </r>
  <r>
    <x v="26"/>
    <x v="4"/>
    <n v="2336887"/>
    <n v="613397"/>
    <n v="605938"/>
    <n v="564256"/>
    <n v="41682"/>
    <n v="194655"/>
    <n v="281762"/>
    <n v="87839"/>
    <n v="0.34499999999999997"/>
    <n v="0.49940000000000001"/>
    <n v="0.15559999999999999"/>
    <n v="0.25929281133405302"/>
    <x v="1"/>
  </r>
  <r>
    <x v="27"/>
    <x v="4"/>
    <n v="1812567"/>
    <n v="598586"/>
    <n v="586827"/>
    <n v="555994"/>
    <n v="30833"/>
    <n v="275901"/>
    <n v="241769"/>
    <n v="38324"/>
    <n v="0.49619999999999997"/>
    <n v="0.43480000000000002"/>
    <n v="6.9000000000000006E-2"/>
    <n v="0.32375465293145"/>
    <x v="0"/>
  </r>
  <r>
    <x v="28"/>
    <x v="4"/>
    <n v="1674729"/>
    <n v="732984"/>
    <n v="731882"/>
    <n v="714682"/>
    <n v="17200"/>
    <n v="337377"/>
    <n v="347634"/>
    <n v="29671"/>
    <n v="0.47210000000000002"/>
    <n v="0.4864"/>
    <n v="4.1500000000000002E-2"/>
    <n v="0.437015182754941"/>
    <x v="1"/>
  </r>
  <r>
    <x v="29"/>
    <x v="4"/>
    <n v="2796542"/>
    <n v="905007"/>
    <n v="891080"/>
    <n v="836531"/>
    <n v="54549"/>
    <n v="366690"/>
    <n v="365229"/>
    <n v="104612"/>
    <n v="0.43830000000000002"/>
    <n v="0.43659999999999999"/>
    <n v="0.12509999999999999"/>
    <n v="0.31863637306359099"/>
    <x v="0"/>
  </r>
  <r>
    <x v="30"/>
    <x v="3"/>
    <n v="2423381"/>
    <n v="1074042"/>
    <n v="1062862"/>
    <n v="1034853"/>
    <n v="28009"/>
    <n v="548665"/>
    <n v="468555"/>
    <n v="17633"/>
    <n v="0.5302"/>
    <n v="0.45279999999999998"/>
    <n v="1.7000000000000001E-2"/>
    <n v="0.43858642120244401"/>
    <x v="0"/>
  </r>
  <r>
    <x v="31"/>
    <x v="2"/>
    <n v="3215273"/>
    <n v="678167"/>
    <n v="666585"/>
    <n v="642165"/>
    <n v="24420"/>
    <n v="473971"/>
    <n v="150710"/>
    <n v="17484"/>
    <n v="0.73809999999999998"/>
    <n v="0.23469999999999999"/>
    <n v="2.7199999999999998E-2"/>
    <n v="0.20731832102592801"/>
    <x v="0"/>
  </r>
  <r>
    <x v="32"/>
    <x v="5"/>
    <n v="1895266"/>
    <n v="950107"/>
    <n v="925940"/>
    <n v="871891"/>
    <n v="54049"/>
    <n v="361604"/>
    <n v="490333"/>
    <n v="19954"/>
    <n v="0.41470000000000001"/>
    <n v="0.56240000000000001"/>
    <n v="2.28999999999999E-2"/>
    <n v="0.48855411324848302"/>
    <x v="1"/>
  </r>
  <r>
    <x v="33"/>
    <x v="1"/>
    <n v="1777105"/>
    <n v="756111"/>
    <n v="741564"/>
    <n v="712877"/>
    <n v="28687"/>
    <n v="374743"/>
    <n v="324906"/>
    <n v="13228"/>
    <n v="0.52569999999999995"/>
    <n v="0.45579999999999998"/>
    <n v="1.85000000000001E-2"/>
    <n v="0.417287667301594"/>
    <x v="0"/>
  </r>
  <r>
    <x v="34"/>
    <x v="1"/>
    <n v="1365913"/>
    <n v="601059"/>
    <n v="586137"/>
    <n v="559365"/>
    <n v="26772"/>
    <n v="50763"/>
    <n v="497914"/>
    <n v="10688"/>
    <n v="9.0800000000000006E-2"/>
    <n v="0.8901"/>
    <n v="1.9099999999999999E-2"/>
    <n v="0.42911737423979401"/>
    <x v="1"/>
  </r>
  <r>
    <x v="35"/>
    <x v="5"/>
    <n v="1717128"/>
    <n v="616168"/>
    <n v="597224"/>
    <n v="578439"/>
    <n v="18785"/>
    <n v="125423"/>
    <n v="438682"/>
    <n v="14334"/>
    <n v="0.21679999999999999"/>
    <n v="0.75839999999999996"/>
    <n v="2.4799999999999999E-2"/>
    <n v="0.34780400762202901"/>
    <x v="1"/>
  </r>
  <r>
    <x v="36"/>
    <x v="3"/>
    <n v="1335015"/>
    <n v="467784"/>
    <n v="451408"/>
    <n v="423951"/>
    <n v="27457"/>
    <n v="259997"/>
    <n v="152224"/>
    <n v="11730"/>
    <n v="0.61329999999999996"/>
    <n v="0.35909999999999997"/>
    <n v="2.76000000000001E-2"/>
    <n v="0.3381295341250850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FA01368-5BEA-40AC-A8D2-473F0D267CD5}" name="map"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K7:L44" firstHeaderRow="1" firstDataRow="1" firstDataCol="1"/>
  <pivotFields count="15">
    <pivotField axis="axisRow" compact="0" outline="0" showAll="0">
      <items count="39">
        <item x="0"/>
        <item x="1"/>
        <item x="2"/>
        <item x="3"/>
        <item x="4"/>
        <item x="5"/>
        <item x="6"/>
        <item x="7"/>
        <item x="8"/>
        <item x="9"/>
        <item x="10"/>
        <item x="11"/>
        <item x="12"/>
        <item x="13"/>
        <item m="1" x="37"/>
        <item x="14"/>
        <item x="15"/>
        <item x="16"/>
        <item x="17"/>
        <item x="18"/>
        <item x="19"/>
        <item x="20"/>
        <item x="21"/>
        <item x="22"/>
        <item x="23"/>
        <item x="24"/>
        <item x="25"/>
        <item x="26"/>
        <item x="27"/>
        <item x="28"/>
        <item x="29"/>
        <item x="30"/>
        <item x="31"/>
        <item x="32"/>
        <item x="33"/>
        <item x="34"/>
        <item x="35"/>
        <item x="36"/>
        <item t="default"/>
      </items>
    </pivotField>
    <pivotField compact="0" outline="0" showAll="0">
      <items count="7">
        <item x="3"/>
        <item x="1"/>
        <item x="5"/>
        <item x="0"/>
        <item x="2"/>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items count="3">
        <item x="1"/>
        <item x="0"/>
        <item t="default"/>
      </items>
    </pivotField>
  </pivotFields>
  <rowFields count="1">
    <field x="0"/>
  </rowFields>
  <rowItems count="37">
    <i>
      <x/>
    </i>
    <i>
      <x v="1"/>
    </i>
    <i>
      <x v="2"/>
    </i>
    <i>
      <x v="3"/>
    </i>
    <i>
      <x v="4"/>
    </i>
    <i>
      <x v="5"/>
    </i>
    <i>
      <x v="6"/>
    </i>
    <i>
      <x v="7"/>
    </i>
    <i>
      <x v="8"/>
    </i>
    <i>
      <x v="9"/>
    </i>
    <i>
      <x v="10"/>
    </i>
    <i>
      <x v="11"/>
    </i>
    <i>
      <x v="12"/>
    </i>
    <i>
      <x v="13"/>
    </i>
    <i>
      <x v="15"/>
    </i>
    <i>
      <x v="16"/>
    </i>
    <i>
      <x v="17"/>
    </i>
    <i>
      <x v="18"/>
    </i>
    <i>
      <x v="19"/>
    </i>
    <i>
      <x v="20"/>
    </i>
    <i>
      <x v="21"/>
    </i>
    <i>
      <x v="22"/>
    </i>
    <i>
      <x v="23"/>
    </i>
    <i>
      <x v="24"/>
    </i>
    <i>
      <x v="25"/>
    </i>
    <i>
      <x v="26"/>
    </i>
    <i>
      <x v="27"/>
    </i>
    <i>
      <x v="28"/>
    </i>
    <i>
      <x v="29"/>
    </i>
    <i>
      <x v="30"/>
    </i>
    <i>
      <x v="31"/>
    </i>
    <i>
      <x v="32"/>
    </i>
    <i>
      <x v="33"/>
    </i>
    <i>
      <x v="34"/>
    </i>
    <i>
      <x v="35"/>
    </i>
    <i>
      <x v="36"/>
    </i>
    <i>
      <x v="37"/>
    </i>
  </rowItems>
  <colItems count="1">
    <i/>
  </colItems>
  <dataFields count="1">
    <dataField name=" Voter Turnout %" fld="13"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737B78F-CC91-4290-BB55-9F5E3757131C}" name="regionalvotes"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4">
  <location ref="Q19:T26" firstHeaderRow="0" firstDataRow="1" firstDataCol="1"/>
  <pivotFields count="15">
    <pivotField compact="0" outline="0" showAll="0"/>
    <pivotField axis="axisRow" compact="0" outline="0" showAll="0">
      <items count="7">
        <item x="3"/>
        <item x="1"/>
        <item x="5"/>
        <item x="0"/>
        <item x="2"/>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dataField="1" compact="0" outline="0" showAll="0"/>
    <pivotField dataField="1" compact="0" outline="0" showAll="0"/>
    <pivotField compact="0" outline="0" showAll="0"/>
    <pivotField compact="0" outline="0" showAll="0">
      <items count="3">
        <item x="1"/>
        <item x="0"/>
        <item t="default"/>
      </items>
    </pivotField>
  </pivotFields>
  <rowFields count="1">
    <field x="1"/>
  </rowFields>
  <rowItems count="7">
    <i>
      <x/>
    </i>
    <i>
      <x v="1"/>
    </i>
    <i>
      <x v="2"/>
    </i>
    <i>
      <x v="3"/>
    </i>
    <i>
      <x v="4"/>
    </i>
    <i>
      <x v="5"/>
    </i>
    <i t="grand">
      <x/>
    </i>
  </rowItems>
  <colFields count="1">
    <field x="-2"/>
  </colFields>
  <colItems count="3">
    <i>
      <x/>
    </i>
    <i i="1">
      <x v="1"/>
    </i>
    <i i="2">
      <x v="2"/>
    </i>
  </colItems>
  <dataFields count="3">
    <dataField name=" PDP Votes  %" fld="10" subtotal="average" baseField="1" baseItem="0"/>
    <dataField name=" APC Votes %" fld="11" subtotal="average" baseField="1" baseItem="0"/>
    <dataField name=" Other Parties Vote %" fld="12" subtotal="average" baseField="1" baseItem="0"/>
  </dataFields>
  <formats count="1">
    <format dxfId="4">
      <pivotArea outline="0" collapsedLevelsAreSubtotals="1" fieldPosition="0"/>
    </format>
  </formats>
  <chartFormats count="3">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3" format="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97A3CA3-55EE-4AFC-8CE8-3BA4F2C26C57}" name="top5states"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7">
  <location ref="Q29:R34" firstHeaderRow="1" firstDataRow="1" firstDataCol="1"/>
  <pivotFields count="15">
    <pivotField axis="axisRow" compact="0" outline="0" showAll="0" measureFilter="1" sortType="descending">
      <items count="39">
        <item x="0"/>
        <item x="1"/>
        <item x="2"/>
        <item x="3"/>
        <item x="4"/>
        <item x="5"/>
        <item x="6"/>
        <item x="7"/>
        <item x="8"/>
        <item x="9"/>
        <item x="10"/>
        <item x="11"/>
        <item x="12"/>
        <item x="13"/>
        <item m="1" x="37"/>
        <item x="14"/>
        <item x="15"/>
        <item x="16"/>
        <item x="17"/>
        <item x="18"/>
        <item x="19"/>
        <item x="20"/>
        <item x="21"/>
        <item x="22"/>
        <item x="23"/>
        <item x="24"/>
        <item x="25"/>
        <item x="26"/>
        <item x="27"/>
        <item x="28"/>
        <item x="29"/>
        <item x="30"/>
        <item x="31"/>
        <item x="32"/>
        <item x="33"/>
        <item x="34"/>
        <item x="35"/>
        <item x="36"/>
        <item t="default"/>
      </items>
      <autoSortScope>
        <pivotArea dataOnly="0" outline="0" fieldPosition="0">
          <references count="1">
            <reference field="4294967294" count="1" selected="0">
              <x v="0"/>
            </reference>
          </references>
        </pivotArea>
      </autoSortScope>
    </pivotField>
    <pivotField compact="0" outline="0" showAll="0">
      <items count="7">
        <item x="3"/>
        <item x="1"/>
        <item x="5"/>
        <item x="0"/>
        <item x="2"/>
        <item x="4"/>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x="1"/>
        <item x="0"/>
        <item t="default"/>
      </items>
    </pivotField>
  </pivotFields>
  <rowFields count="1">
    <field x="0"/>
  </rowFields>
  <rowItems count="5">
    <i>
      <x v="19"/>
    </i>
    <i>
      <x v="18"/>
    </i>
    <i>
      <x v="20"/>
    </i>
    <i>
      <x v="17"/>
    </i>
    <i>
      <x v="24"/>
    </i>
  </rowItems>
  <colItems count="1">
    <i/>
  </colItems>
  <dataFields count="1">
    <dataField name="Sum of Valid votes" fld="5" baseField="0" baseItem="0" numFmtId="165"/>
  </dataFields>
  <formats count="1">
    <format dxfId="5">
      <pivotArea outline="0" collapsedLevelsAreSubtotals="1" fieldPosition="0"/>
    </format>
  </format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8428952-2767-44A2-8712-3709E2B0D8C8}" name="votershar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C14:E15" firstHeaderRow="0" firstDataRow="1" firstDataCol="0"/>
  <pivotFields count="15">
    <pivotField showAll="0"/>
    <pivotField showAll="0">
      <items count="7">
        <item x="3"/>
        <item x="1"/>
        <item x="5"/>
        <item x="0"/>
        <item x="2"/>
        <item x="4"/>
        <item t="default"/>
      </items>
    </pivotField>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s>
  <rowItems count="1">
    <i/>
  </rowItems>
  <colFields count="1">
    <field x="-2"/>
  </colFields>
  <colItems count="3">
    <i>
      <x/>
    </i>
    <i i="1">
      <x v="1"/>
    </i>
    <i i="2">
      <x v="2"/>
    </i>
  </colItems>
  <dataFields count="3">
    <dataField name=" PDP Votes" fld="7" baseField="0" baseItem="0"/>
    <dataField name=" APC Votes" fld="8" baseField="0" baseItem="0"/>
    <dataField name=" Other Parties Votes" fld="9"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AF4BAD9-B276-4052-AB45-EB837EAD5C00}" name="KPI"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7:G8" firstHeaderRow="0" firstDataRow="1" firstDataCol="0"/>
  <pivotFields count="15">
    <pivotField showAll="0"/>
    <pivotField showAll="0">
      <items count="7">
        <item x="3"/>
        <item x="1"/>
        <item x="5"/>
        <item x="0"/>
        <item x="2"/>
        <item x="4"/>
        <item t="default"/>
      </items>
    </pivotField>
    <pivotField dataField="1" showAll="0"/>
    <pivotField dataField="1" showAll="0"/>
    <pivotField showAll="0"/>
    <pivotField dataField="1" showAll="0"/>
    <pivotField dataField="1" showAll="0"/>
    <pivotField showAll="0"/>
    <pivotField showAll="0"/>
    <pivotField showAll="0"/>
    <pivotField showAll="0"/>
    <pivotField showAll="0"/>
    <pivotField showAll="0"/>
    <pivotField dataField="1" showAll="0"/>
    <pivotField showAll="0">
      <items count="3">
        <item x="1"/>
        <item x="0"/>
        <item t="default"/>
      </items>
    </pivotField>
  </pivotFields>
  <rowItems count="1">
    <i/>
  </rowItems>
  <colFields count="1">
    <field x="-2"/>
  </colFields>
  <colItems count="5">
    <i>
      <x/>
    </i>
    <i i="1">
      <x v="1"/>
    </i>
    <i i="2">
      <x v="2"/>
    </i>
    <i i="3">
      <x v="3"/>
    </i>
    <i i="4">
      <x v="4"/>
    </i>
  </colItems>
  <dataFields count="5">
    <dataField name=" Nr of Reg Voters" fld="2" baseField="0" baseItem="0" numFmtId="165"/>
    <dataField name=" Accredited Voters" fld="3" baseField="0" baseItem="0" numFmtId="165"/>
    <dataField name=" Valid votes" fld="5" baseField="0" baseItem="0" numFmtId="165"/>
    <dataField name=" Rejected votes" fld="6" baseField="0" baseItem="0" numFmtId="165"/>
    <dataField name=" Voter Turnout %" fld="13" subtotal="average" baseField="0" baseItem="4" numFmtId="9"/>
  </dataFields>
  <formats count="3">
    <format dxfId="6">
      <pivotArea outline="0" collapsedLevelsAreSubtotals="1" fieldPosition="0">
        <references count="1">
          <reference field="4294967294" count="1" selected="0">
            <x v="4"/>
          </reference>
        </references>
      </pivotArea>
    </format>
    <format dxfId="2">
      <pivotArea outline="0" collapsedLevelsAreSubtotals="1" fieldPosition="0"/>
    </format>
    <format dxfId="1">
      <pivotArea outline="0" collapsedLevelsAreSubtotals="1" fieldPosition="0">
        <references count="1">
          <reference field="4294967294" count="4" selected="0">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BF7FA0E7-AF9F-4591-B53C-109CCE5F4CD0}" autoFormatId="16" applyNumberFormats="0" applyBorderFormats="0" applyFontFormats="0" applyPatternFormats="0" applyAlignmentFormats="0" applyWidthHeightFormats="0">
  <queryTableRefresh nextId="25" unboundColumnsRight="1">
    <queryTableFields count="15">
      <queryTableField id="1" name="State" tableColumnId="1"/>
      <queryTableField id="2" name="Geopolitical zone" tableColumnId="2"/>
      <queryTableField id="3" name="Nr of Reg Voters" tableColumnId="3"/>
      <queryTableField id="4" name="Accredited Voters" tableColumnId="4"/>
      <queryTableField id="5" name="Votes cast" tableColumnId="5"/>
      <queryTableField id="6" name="Valid votes" tableColumnId="6"/>
      <queryTableField id="7" name="Rejected votes" tableColumnId="7"/>
      <queryTableField id="8" name="PDP Votes" tableColumnId="8"/>
      <queryTableField id="9" name="APC Votes" tableColumnId="9"/>
      <queryTableField id="21" name="Other Parties Votes" tableColumnId="19"/>
      <queryTableField id="14" name="PDP Votes  %" tableColumnId="14"/>
      <queryTableField id="13" name="APC Votes %" tableColumnId="13"/>
      <queryTableField id="22" name="Other Parties Vote %" tableColumnId="20"/>
      <queryTableField id="15" name="Voter Turnout %" tableColumnId="15"/>
      <queryTableField id="17" dataBound="0" tableColumnId="1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PC_PDP" xr10:uid="{07352F7A-CC41-418B-8BE5-FA465C3A0B48}" sourceName="APC/PDP">
  <pivotTables>
    <pivotTable tabId="1" name="top5states"/>
    <pivotTable tabId="1" name="KPI"/>
    <pivotTable tabId="1" name="map"/>
    <pivotTable tabId="1" name="regionalvotes"/>
  </pivotTables>
  <data>
    <tabular pivotCacheId="1354427590">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opolitical_zone" xr10:uid="{E461D7FF-E567-4BB7-92B8-044E6E6F4886}" sourceName="Geopolitical zone">
  <pivotTables>
    <pivotTable tabId="1" name="KPI"/>
    <pivotTable tabId="1" name="map"/>
    <pivotTable tabId="1" name="top5states"/>
    <pivotTable tabId="1" name="votershare"/>
  </pivotTables>
  <data>
    <tabular pivotCacheId="1354427590">
      <items count="6">
        <i x="3" s="1"/>
        <i x="1" s="1"/>
        <i x="5" s="1"/>
        <i x="0" s="1"/>
        <i x="2"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PC/PDP" xr10:uid="{46A1A730-63BC-45EB-B28F-7D30EAC52863}" cache="Slicer_APC_PDP" caption="APC/PDP" columnCount="2" showCaption="0" style="myslicer" rowHeight="288000"/>
  <slicer name="Geopolitical zone" xr10:uid="{5CC84B2A-9810-449A-8759-E60F337F889F}" cache="Slicer_Geopolitical_zone" caption="Geopolitical zone" columnCount="3" showCaption="0" style="myslicer" rowHeight="324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B7E5D0-798E-4E82-B40C-6E3FF7C5A74F}" name="DATA" displayName="DATA" ref="A1:O38" tableType="queryTable" totalsRowShown="0">
  <autoFilter ref="A1:O38" xr:uid="{A9B7E5D0-798E-4E82-B40C-6E3FF7C5A74F}"/>
  <tableColumns count="15">
    <tableColumn id="1" xr3:uid="{A13F2D17-6079-4C85-86C5-F78C6F8F88CA}" uniqueName="1" name="State" queryTableFieldId="1"/>
    <tableColumn id="2" xr3:uid="{788C3EF0-6686-49EC-89A5-34F5C62B0B20}" uniqueName="2" name="Geopolitical zone" queryTableFieldId="2"/>
    <tableColumn id="3" xr3:uid="{799C1FAC-D77F-465F-8799-2DAD3C0E4D01}" uniqueName="3" name="Nr of Reg Voters" queryTableFieldId="3"/>
    <tableColumn id="4" xr3:uid="{DE2B178B-F747-4FB2-A1E5-6168247E80A5}" uniqueName="4" name="Accredited Voters" queryTableFieldId="4"/>
    <tableColumn id="5" xr3:uid="{8C2A78C1-9421-44D9-95FF-19C07D538C0E}" uniqueName="5" name="Votes cast" queryTableFieldId="5"/>
    <tableColumn id="6" xr3:uid="{707F8D20-652E-4CED-A9C0-B14678A6C499}" uniqueName="6" name="Valid votes" queryTableFieldId="6"/>
    <tableColumn id="7" xr3:uid="{B75BEDE8-8F5E-40AC-8D45-B682FB3C0761}" uniqueName="7" name="Rejected votes" queryTableFieldId="7"/>
    <tableColumn id="8" xr3:uid="{9B5AF94D-ACCF-4900-A452-F7C289E5E1AC}" uniqueName="8" name="PDP Votes" queryTableFieldId="8"/>
    <tableColumn id="9" xr3:uid="{3D5FF292-8CC0-45AE-A625-415D1B1D46D5}" uniqueName="9" name="APC Votes" queryTableFieldId="9"/>
    <tableColumn id="19" xr3:uid="{BF900CDB-3870-4654-B3D0-B97FFA052A2D}" uniqueName="19" name="Other Parties Votes" queryTableFieldId="21"/>
    <tableColumn id="14" xr3:uid="{5AB4A510-C334-4610-B2E0-81230FE5D71A}" uniqueName="14" name="PDP Votes  %" queryTableFieldId="14" dataDxfId="9"/>
    <tableColumn id="13" xr3:uid="{38EF61CB-8A7C-448A-81F1-C7DDF5CC169B}" uniqueName="13" name="APC Votes %" queryTableFieldId="13"/>
    <tableColumn id="20" xr3:uid="{E2AFCA67-5950-4E67-9965-13C5F29A0A02}" uniqueName="20" name="Other Parties Vote %" queryTableFieldId="22"/>
    <tableColumn id="15" xr3:uid="{53F80C2F-90CA-48BF-9388-DD051E1A9258}" uniqueName="15" name="Voter Turnout %" queryTableFieldId="15" dataDxfId="8"/>
    <tableColumn id="16" xr3:uid="{689F5833-490E-4356-89FE-7DE19E80DD70}" uniqueName="16" name="APC/PDP" queryTableFieldId="17" dataDxfId="7">
      <calculatedColumnFormula>IF(DATA[[#This Row],[APC Votes]]&gt;DATA[[#This Row],[PDP Votes]],"APC States","PDP States")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08E1E-530A-47CC-8E1E-87F98662A8AE}">
  <dimension ref="A1:O38"/>
  <sheetViews>
    <sheetView workbookViewId="0"/>
  </sheetViews>
  <sheetFormatPr defaultRowHeight="17.399999999999999"/>
  <cols>
    <col min="1" max="1" width="9.19921875" bestFit="1" customWidth="1"/>
    <col min="2" max="2" width="17.796875" bestFit="1" customWidth="1"/>
    <col min="3" max="3" width="16.59765625" bestFit="1" customWidth="1"/>
    <col min="4" max="4" width="18" bestFit="1" customWidth="1"/>
    <col min="5" max="5" width="11.69921875" bestFit="1" customWidth="1"/>
    <col min="6" max="6" width="12.19921875" bestFit="1" customWidth="1"/>
    <col min="7" max="7" width="15.19921875" bestFit="1" customWidth="1"/>
    <col min="8" max="8" width="11.296875" bestFit="1" customWidth="1"/>
    <col min="9" max="9" width="11.5" bestFit="1" customWidth="1"/>
    <col min="10" max="10" width="19.296875" bestFit="1" customWidth="1"/>
    <col min="11" max="11" width="13.5" bestFit="1" customWidth="1"/>
    <col min="12" max="12" width="13.19921875" bestFit="1" customWidth="1"/>
    <col min="13" max="13" width="20.09765625" bestFit="1" customWidth="1"/>
    <col min="14" max="14" width="16.296875" bestFit="1" customWidth="1"/>
    <col min="15" max="15" width="10.296875" bestFit="1" customWidth="1"/>
    <col min="16" max="16" width="9.5" bestFit="1" customWidth="1"/>
    <col min="17" max="17" width="17.19921875" bestFit="1" customWidth="1"/>
    <col min="18" max="18" width="13" bestFit="1" customWidth="1"/>
    <col min="19" max="19" width="13.19921875" bestFit="1" customWidth="1"/>
  </cols>
  <sheetData>
    <row r="1" spans="1:15">
      <c r="A1" t="s">
        <v>0</v>
      </c>
      <c r="B1" t="s">
        <v>1</v>
      </c>
      <c r="C1" t="s">
        <v>2</v>
      </c>
      <c r="D1" t="s">
        <v>3</v>
      </c>
      <c r="E1" t="s">
        <v>4</v>
      </c>
      <c r="F1" t="s">
        <v>5</v>
      </c>
      <c r="G1" t="s">
        <v>6</v>
      </c>
      <c r="H1" t="s">
        <v>7</v>
      </c>
      <c r="I1" t="s">
        <v>8</v>
      </c>
      <c r="J1" t="s">
        <v>85</v>
      </c>
      <c r="K1" t="s">
        <v>54</v>
      </c>
      <c r="L1" t="s">
        <v>52</v>
      </c>
      <c r="M1" t="s">
        <v>86</v>
      </c>
      <c r="N1" t="s">
        <v>55</v>
      </c>
      <c r="O1" t="s">
        <v>92</v>
      </c>
    </row>
    <row r="2" spans="1:15">
      <c r="A2" t="s">
        <v>9</v>
      </c>
      <c r="B2" t="s">
        <v>10</v>
      </c>
      <c r="C2">
        <v>1793861</v>
      </c>
      <c r="D2">
        <v>361561</v>
      </c>
      <c r="E2">
        <v>344471</v>
      </c>
      <c r="F2">
        <v>323291</v>
      </c>
      <c r="G2">
        <v>21180</v>
      </c>
      <c r="H2">
        <v>219698</v>
      </c>
      <c r="I2">
        <v>85058</v>
      </c>
      <c r="J2">
        <v>18535</v>
      </c>
      <c r="K2">
        <v>0.67959999999999998</v>
      </c>
      <c r="L2">
        <v>0.2631</v>
      </c>
      <c r="M2">
        <v>5.7299999999999997E-2</v>
      </c>
      <c r="N2">
        <v>0.19202769891312599</v>
      </c>
      <c r="O2" t="str">
        <f>IF(DATA[[#This Row],[APC Votes]]&gt;DATA[[#This Row],[PDP Votes]],"APC States","PDP States")</f>
        <v>PDP States</v>
      </c>
    </row>
    <row r="3" spans="1:15">
      <c r="A3" t="s">
        <v>11</v>
      </c>
      <c r="B3" t="s">
        <v>12</v>
      </c>
      <c r="C3">
        <v>1959322</v>
      </c>
      <c r="D3">
        <v>874920</v>
      </c>
      <c r="E3">
        <v>860756</v>
      </c>
      <c r="F3">
        <v>811534</v>
      </c>
      <c r="G3">
        <v>49222</v>
      </c>
      <c r="H3">
        <v>410266</v>
      </c>
      <c r="I3">
        <v>378078</v>
      </c>
      <c r="J3">
        <v>23190</v>
      </c>
      <c r="K3">
        <v>0.50549999999999995</v>
      </c>
      <c r="L3">
        <v>0.46589999999999998</v>
      </c>
      <c r="M3">
        <v>2.8600000000000101E-2</v>
      </c>
      <c r="N3">
        <v>0.43931319099157801</v>
      </c>
      <c r="O3" t="str">
        <f>IF(DATA[[#This Row],[APC Votes]]&gt;DATA[[#This Row],[PDP Votes]],"APC States","PDP States")</f>
        <v>PDP States</v>
      </c>
    </row>
    <row r="4" spans="1:15">
      <c r="A4" t="s">
        <v>13</v>
      </c>
      <c r="B4" t="s">
        <v>14</v>
      </c>
      <c r="C4">
        <v>2119727</v>
      </c>
      <c r="D4">
        <v>695677</v>
      </c>
      <c r="E4">
        <v>605140</v>
      </c>
      <c r="F4">
        <v>578775</v>
      </c>
      <c r="G4">
        <v>26365</v>
      </c>
      <c r="H4">
        <v>395832</v>
      </c>
      <c r="I4">
        <v>175429</v>
      </c>
      <c r="J4">
        <v>7514</v>
      </c>
      <c r="K4">
        <v>0.68389999999999995</v>
      </c>
      <c r="L4">
        <v>0.30309999999999998</v>
      </c>
      <c r="M4">
        <v>1.30000000000001E-2</v>
      </c>
      <c r="N4">
        <v>0.28548015852984798</v>
      </c>
      <c r="O4" t="str">
        <f>IF(DATA[[#This Row],[APC Votes]]&gt;DATA[[#This Row],[PDP Votes]],"APC States","PDP States")</f>
        <v>PDP States</v>
      </c>
    </row>
    <row r="5" spans="1:15">
      <c r="A5" t="s">
        <v>15</v>
      </c>
      <c r="B5" t="s">
        <v>10</v>
      </c>
      <c r="C5">
        <v>2389332</v>
      </c>
      <c r="D5">
        <v>675273</v>
      </c>
      <c r="E5">
        <v>625035</v>
      </c>
      <c r="F5">
        <v>605734</v>
      </c>
      <c r="G5">
        <v>19301</v>
      </c>
      <c r="H5">
        <v>524738</v>
      </c>
      <c r="I5">
        <v>33298</v>
      </c>
      <c r="J5">
        <v>47698</v>
      </c>
      <c r="K5">
        <v>0.86629999999999996</v>
      </c>
      <c r="L5">
        <v>5.5E-2</v>
      </c>
      <c r="M5">
        <v>7.8700000000000006E-2</v>
      </c>
      <c r="N5">
        <v>0.26159403548774302</v>
      </c>
      <c r="O5" t="str">
        <f>IF(DATA[[#This Row],[APC Votes]]&gt;DATA[[#This Row],[PDP Votes]],"APC States","PDP States")</f>
        <v>PDP States</v>
      </c>
    </row>
    <row r="6" spans="1:15">
      <c r="A6" t="s">
        <v>16</v>
      </c>
      <c r="B6" t="s">
        <v>12</v>
      </c>
      <c r="C6">
        <v>2453512</v>
      </c>
      <c r="D6">
        <v>1075330</v>
      </c>
      <c r="E6">
        <v>1061955</v>
      </c>
      <c r="F6">
        <v>1024307</v>
      </c>
      <c r="G6">
        <v>37648</v>
      </c>
      <c r="H6">
        <v>209313</v>
      </c>
      <c r="I6">
        <v>798428</v>
      </c>
      <c r="J6">
        <v>16566</v>
      </c>
      <c r="K6">
        <v>0.20430000000000001</v>
      </c>
      <c r="L6">
        <v>0.77949999999999997</v>
      </c>
      <c r="M6">
        <v>1.6199999999999999E-2</v>
      </c>
      <c r="N6">
        <v>0.43283057103450101</v>
      </c>
      <c r="O6" t="str">
        <f>IF(DATA[[#This Row],[APC Votes]]&gt;DATA[[#This Row],[PDP Votes]],"APC States","PDP States")</f>
        <v>APC States</v>
      </c>
    </row>
    <row r="7" spans="1:15">
      <c r="A7" t="s">
        <v>17</v>
      </c>
      <c r="B7" t="s">
        <v>14</v>
      </c>
      <c r="C7">
        <v>923182</v>
      </c>
      <c r="D7">
        <v>344237</v>
      </c>
      <c r="E7">
        <v>335856</v>
      </c>
      <c r="F7">
        <v>321767</v>
      </c>
      <c r="G7">
        <v>14089</v>
      </c>
      <c r="H7">
        <v>197933</v>
      </c>
      <c r="I7">
        <v>118821</v>
      </c>
      <c r="J7">
        <v>5013</v>
      </c>
      <c r="K7">
        <v>0.61509999999999998</v>
      </c>
      <c r="L7">
        <v>0.36930000000000002</v>
      </c>
      <c r="M7">
        <v>1.56000000000001E-2</v>
      </c>
      <c r="N7">
        <v>0.36380258713883101</v>
      </c>
      <c r="O7" t="str">
        <f>IF(DATA[[#This Row],[APC Votes]]&gt;DATA[[#This Row],[PDP Votes]],"APC States","PDP States")</f>
        <v>PDP States</v>
      </c>
    </row>
    <row r="8" spans="1:15">
      <c r="A8" t="s">
        <v>18</v>
      </c>
      <c r="B8" t="s">
        <v>19</v>
      </c>
      <c r="C8">
        <v>2391276</v>
      </c>
      <c r="D8">
        <v>786069</v>
      </c>
      <c r="E8">
        <v>763872</v>
      </c>
      <c r="F8">
        <v>728912</v>
      </c>
      <c r="G8">
        <v>34960</v>
      </c>
      <c r="H8">
        <v>356817</v>
      </c>
      <c r="I8">
        <v>347668</v>
      </c>
      <c r="J8">
        <v>24427</v>
      </c>
      <c r="K8">
        <v>0.48949999999999999</v>
      </c>
      <c r="L8">
        <v>0.47699999999999998</v>
      </c>
      <c r="M8">
        <v>3.3500000000000099E-2</v>
      </c>
      <c r="N8">
        <v>0.31944116864803601</v>
      </c>
      <c r="O8" t="str">
        <f>IF(DATA[[#This Row],[APC Votes]]&gt;DATA[[#This Row],[PDP Votes]],"APC States","PDP States")</f>
        <v>PDP States</v>
      </c>
    </row>
    <row r="9" spans="1:15">
      <c r="A9" t="s">
        <v>20</v>
      </c>
      <c r="B9" t="s">
        <v>12</v>
      </c>
      <c r="C9">
        <v>2319434</v>
      </c>
      <c r="D9">
        <v>987290</v>
      </c>
      <c r="E9">
        <v>955205</v>
      </c>
      <c r="F9">
        <v>919786</v>
      </c>
      <c r="G9">
        <v>35419</v>
      </c>
      <c r="H9">
        <v>71788</v>
      </c>
      <c r="I9">
        <v>836496</v>
      </c>
      <c r="J9">
        <v>11502</v>
      </c>
      <c r="K9">
        <v>7.8E-2</v>
      </c>
      <c r="L9">
        <v>0.90939999999999999</v>
      </c>
      <c r="M9">
        <v>1.2600000000000101E-2</v>
      </c>
      <c r="N9">
        <v>0.41182676463309598</v>
      </c>
      <c r="O9" t="str">
        <f>IF(DATA[[#This Row],[APC Votes]]&gt;DATA[[#This Row],[PDP Votes]],"APC States","PDP States")</f>
        <v>APC States</v>
      </c>
    </row>
    <row r="10" spans="1:15">
      <c r="A10" t="s">
        <v>21</v>
      </c>
      <c r="B10" t="s">
        <v>14</v>
      </c>
      <c r="C10">
        <v>1512915</v>
      </c>
      <c r="D10">
        <v>461033</v>
      </c>
      <c r="E10">
        <v>446046</v>
      </c>
      <c r="F10">
        <v>421901</v>
      </c>
      <c r="G10">
        <v>24145</v>
      </c>
      <c r="H10">
        <v>295737</v>
      </c>
      <c r="I10">
        <v>117302</v>
      </c>
      <c r="J10">
        <v>8862</v>
      </c>
      <c r="K10">
        <v>0.70099999999999996</v>
      </c>
      <c r="L10">
        <v>0.27800000000000002</v>
      </c>
      <c r="M10">
        <v>2.1000000000000001E-2</v>
      </c>
      <c r="N10">
        <v>0.29482555199730298</v>
      </c>
      <c r="O10" t="str">
        <f>IF(DATA[[#This Row],[APC Votes]]&gt;DATA[[#This Row],[PDP Votes]],"APC States","PDP States")</f>
        <v>PDP States</v>
      </c>
    </row>
    <row r="11" spans="1:15">
      <c r="A11" t="s">
        <v>22</v>
      </c>
      <c r="B11" t="s">
        <v>14</v>
      </c>
      <c r="C11">
        <v>2719313</v>
      </c>
      <c r="D11">
        <v>891647</v>
      </c>
      <c r="E11">
        <v>882254</v>
      </c>
      <c r="F11">
        <v>829762</v>
      </c>
      <c r="G11">
        <v>52492</v>
      </c>
      <c r="H11">
        <v>594068</v>
      </c>
      <c r="I11">
        <v>221292</v>
      </c>
      <c r="J11">
        <v>14402</v>
      </c>
      <c r="K11">
        <v>0.71589999999999998</v>
      </c>
      <c r="L11">
        <v>0.26669999999999999</v>
      </c>
      <c r="M11">
        <v>1.7400000000000099E-2</v>
      </c>
      <c r="N11">
        <v>0.32444003319956199</v>
      </c>
      <c r="O11" t="str">
        <f>IF(DATA[[#This Row],[APC Votes]]&gt;DATA[[#This Row],[PDP Votes]],"APC States","PDP States")</f>
        <v>PDP States</v>
      </c>
    </row>
    <row r="12" spans="1:15">
      <c r="A12" t="s">
        <v>23</v>
      </c>
      <c r="B12" t="s">
        <v>10</v>
      </c>
      <c r="C12">
        <v>1392931</v>
      </c>
      <c r="D12">
        <v>391747</v>
      </c>
      <c r="E12">
        <v>379394</v>
      </c>
      <c r="F12">
        <v>359131</v>
      </c>
      <c r="G12">
        <v>20263</v>
      </c>
      <c r="H12">
        <v>258573</v>
      </c>
      <c r="I12">
        <v>90726</v>
      </c>
      <c r="J12">
        <v>9832</v>
      </c>
      <c r="K12">
        <v>0.72</v>
      </c>
      <c r="L12">
        <v>0.25259999999999999</v>
      </c>
      <c r="M12">
        <v>2.7400000000000101E-2</v>
      </c>
      <c r="N12">
        <v>0.27237099325092201</v>
      </c>
      <c r="O12" t="str">
        <f>IF(DATA[[#This Row],[APC Votes]]&gt;DATA[[#This Row],[PDP Votes]],"APC States","PDP States")</f>
        <v>PDP States</v>
      </c>
    </row>
    <row r="13" spans="1:15">
      <c r="A13" t="s">
        <v>24</v>
      </c>
      <c r="B13" t="s">
        <v>14</v>
      </c>
      <c r="C13">
        <v>2150127</v>
      </c>
      <c r="D13">
        <v>604915</v>
      </c>
      <c r="E13">
        <v>599228</v>
      </c>
      <c r="F13">
        <v>560711</v>
      </c>
      <c r="G13">
        <v>38517</v>
      </c>
      <c r="H13">
        <v>275691</v>
      </c>
      <c r="I13">
        <v>267842</v>
      </c>
      <c r="J13">
        <v>17178</v>
      </c>
      <c r="K13">
        <v>0.49170000000000003</v>
      </c>
      <c r="L13">
        <v>0.47770000000000001</v>
      </c>
      <c r="M13">
        <v>3.0599999999999999E-2</v>
      </c>
      <c r="N13">
        <v>0.27869423527075399</v>
      </c>
      <c r="O13" t="str">
        <f>IF(DATA[[#This Row],[APC Votes]]&gt;DATA[[#This Row],[PDP Votes]],"APC States","PDP States")</f>
        <v>PDP States</v>
      </c>
    </row>
    <row r="14" spans="1:15">
      <c r="A14" t="s">
        <v>25</v>
      </c>
      <c r="B14" t="s">
        <v>26</v>
      </c>
      <c r="C14">
        <v>899919</v>
      </c>
      <c r="D14">
        <v>395741</v>
      </c>
      <c r="E14">
        <v>393709</v>
      </c>
      <c r="F14">
        <v>381132</v>
      </c>
      <c r="G14">
        <v>12577</v>
      </c>
      <c r="H14">
        <v>154032</v>
      </c>
      <c r="I14">
        <v>219231</v>
      </c>
      <c r="J14">
        <v>7869</v>
      </c>
      <c r="K14">
        <v>0.40410000000000001</v>
      </c>
      <c r="L14">
        <v>0.57520000000000004</v>
      </c>
      <c r="M14">
        <v>2.0699999999999899E-2</v>
      </c>
      <c r="N14">
        <v>0.43749381888814398</v>
      </c>
      <c r="O14" t="str">
        <f>IF(DATA[[#This Row],[APC Votes]]&gt;DATA[[#This Row],[PDP Votes]],"APC States","PDP States")</f>
        <v>APC States</v>
      </c>
    </row>
    <row r="15" spans="1:15">
      <c r="A15" t="s">
        <v>27</v>
      </c>
      <c r="B15" t="s">
        <v>10</v>
      </c>
      <c r="C15">
        <v>1935168</v>
      </c>
      <c r="D15">
        <v>452765</v>
      </c>
      <c r="E15">
        <v>451063</v>
      </c>
      <c r="F15">
        <v>421014</v>
      </c>
      <c r="G15">
        <v>30049</v>
      </c>
      <c r="H15">
        <v>355553</v>
      </c>
      <c r="I15">
        <v>54423</v>
      </c>
      <c r="J15">
        <v>11038</v>
      </c>
      <c r="K15">
        <v>0.84450000000000003</v>
      </c>
      <c r="L15">
        <v>0.1293</v>
      </c>
      <c r="M15">
        <v>2.6200000000000001E-2</v>
      </c>
      <c r="N15">
        <v>0.23308725650692899</v>
      </c>
      <c r="O15" t="str">
        <f>IF(DATA[[#This Row],[APC Votes]]&gt;DATA[[#This Row],[PDP Votes]],"APC States","PDP States")</f>
        <v>PDP States</v>
      </c>
    </row>
    <row r="16" spans="1:15">
      <c r="A16" t="s">
        <v>28</v>
      </c>
      <c r="B16" t="s">
        <v>12</v>
      </c>
      <c r="C16">
        <v>1385191</v>
      </c>
      <c r="D16">
        <v>604240</v>
      </c>
      <c r="E16">
        <v>580649</v>
      </c>
      <c r="F16">
        <v>554203</v>
      </c>
      <c r="G16">
        <v>26446</v>
      </c>
      <c r="H16">
        <v>138484</v>
      </c>
      <c r="I16">
        <v>402961</v>
      </c>
      <c r="J16">
        <v>12758</v>
      </c>
      <c r="K16">
        <v>0.24990000000000001</v>
      </c>
      <c r="L16">
        <v>0.72709999999999997</v>
      </c>
      <c r="M16">
        <v>2.3E-2</v>
      </c>
      <c r="N16">
        <v>0.41918334727846202</v>
      </c>
      <c r="O16" t="str">
        <f>IF(DATA[[#This Row],[APC Votes]]&gt;DATA[[#This Row],[PDP Votes]],"APC States","PDP States")</f>
        <v>APC States</v>
      </c>
    </row>
    <row r="17" spans="1:15">
      <c r="A17" t="s">
        <v>29</v>
      </c>
      <c r="B17" t="s">
        <v>10</v>
      </c>
      <c r="C17">
        <v>2037569</v>
      </c>
      <c r="D17">
        <v>585741</v>
      </c>
      <c r="E17">
        <v>542777</v>
      </c>
      <c r="F17">
        <v>511586</v>
      </c>
      <c r="G17">
        <v>31191</v>
      </c>
      <c r="H17">
        <v>334923</v>
      </c>
      <c r="I17">
        <v>140463</v>
      </c>
      <c r="J17">
        <v>36200</v>
      </c>
      <c r="K17">
        <v>0.65469999999999995</v>
      </c>
      <c r="L17">
        <v>0.27460000000000001</v>
      </c>
      <c r="M17">
        <v>7.0699999999999999E-2</v>
      </c>
      <c r="N17">
        <v>0.26638459850930202</v>
      </c>
      <c r="O17" t="str">
        <f>IF(DATA[[#This Row],[APC Votes]]&gt;DATA[[#This Row],[PDP Votes]],"APC States","PDP States")</f>
        <v>PDP States</v>
      </c>
    </row>
    <row r="18" spans="1:15">
      <c r="A18" t="s">
        <v>30</v>
      </c>
      <c r="B18" t="s">
        <v>31</v>
      </c>
      <c r="C18">
        <v>2104889</v>
      </c>
      <c r="D18">
        <v>1171801</v>
      </c>
      <c r="E18">
        <v>1149922</v>
      </c>
      <c r="F18">
        <v>1106244</v>
      </c>
      <c r="G18">
        <v>43678</v>
      </c>
      <c r="H18">
        <v>289895</v>
      </c>
      <c r="I18">
        <v>794738</v>
      </c>
      <c r="J18">
        <v>21611</v>
      </c>
      <c r="K18">
        <v>0.2621</v>
      </c>
      <c r="L18">
        <v>0.71840000000000004</v>
      </c>
      <c r="M18">
        <v>1.95E-2</v>
      </c>
      <c r="N18">
        <v>0.54631004295238395</v>
      </c>
      <c r="O18" t="str">
        <f>IF(DATA[[#This Row],[APC Votes]]&gt;DATA[[#This Row],[PDP Votes]],"APC States","PDP States")</f>
        <v>APC States</v>
      </c>
    </row>
    <row r="19" spans="1:15">
      <c r="A19" t="s">
        <v>32</v>
      </c>
      <c r="B19" t="s">
        <v>31</v>
      </c>
      <c r="C19">
        <v>3861033</v>
      </c>
      <c r="D19">
        <v>1757868</v>
      </c>
      <c r="E19">
        <v>1709005</v>
      </c>
      <c r="F19">
        <v>1663603</v>
      </c>
      <c r="G19">
        <v>45402</v>
      </c>
      <c r="H19">
        <v>649612</v>
      </c>
      <c r="I19">
        <v>993445</v>
      </c>
      <c r="J19">
        <v>20546</v>
      </c>
      <c r="K19">
        <v>0.39050000000000001</v>
      </c>
      <c r="L19">
        <v>0.59719999999999995</v>
      </c>
      <c r="M19">
        <v>1.23E-2</v>
      </c>
      <c r="N19">
        <v>0.44262895447928002</v>
      </c>
      <c r="O19" t="str">
        <f>IF(DATA[[#This Row],[APC Votes]]&gt;DATA[[#This Row],[PDP Votes]],"APC States","PDP States")</f>
        <v>APC States</v>
      </c>
    </row>
    <row r="20" spans="1:15">
      <c r="A20" t="s">
        <v>33</v>
      </c>
      <c r="B20" t="s">
        <v>31</v>
      </c>
      <c r="C20">
        <v>5391581</v>
      </c>
      <c r="D20">
        <v>2006410</v>
      </c>
      <c r="E20">
        <v>1964751</v>
      </c>
      <c r="F20">
        <v>1891134</v>
      </c>
      <c r="G20">
        <v>73617</v>
      </c>
      <c r="H20">
        <v>391593</v>
      </c>
      <c r="I20">
        <v>1464768</v>
      </c>
      <c r="J20">
        <v>34773</v>
      </c>
      <c r="K20">
        <v>0.20710000000000001</v>
      </c>
      <c r="L20">
        <v>0.77449999999999997</v>
      </c>
      <c r="M20">
        <v>1.84E-2</v>
      </c>
      <c r="N20">
        <v>0.36441092139763798</v>
      </c>
      <c r="O20" t="str">
        <f>IF(DATA[[#This Row],[APC Votes]]&gt;DATA[[#This Row],[PDP Votes]],"APC States","PDP States")</f>
        <v>APC States</v>
      </c>
    </row>
    <row r="21" spans="1:15">
      <c r="A21" t="s">
        <v>34</v>
      </c>
      <c r="B21" t="s">
        <v>31</v>
      </c>
      <c r="C21">
        <v>3210422</v>
      </c>
      <c r="D21">
        <v>1628865</v>
      </c>
      <c r="E21">
        <v>1619185</v>
      </c>
      <c r="F21">
        <v>1555473</v>
      </c>
      <c r="G21">
        <v>63712</v>
      </c>
      <c r="H21">
        <v>308056</v>
      </c>
      <c r="I21">
        <v>1232133</v>
      </c>
      <c r="J21">
        <v>15284</v>
      </c>
      <c r="K21">
        <v>0.19800000000000001</v>
      </c>
      <c r="L21">
        <v>0.79210000000000003</v>
      </c>
      <c r="M21">
        <v>9.9000000000000199E-3</v>
      </c>
      <c r="N21">
        <v>0.50435269880408196</v>
      </c>
      <c r="O21" t="str">
        <f>IF(DATA[[#This Row],[APC Votes]]&gt;DATA[[#This Row],[PDP Votes]],"APC States","PDP States")</f>
        <v>APC States</v>
      </c>
    </row>
    <row r="22" spans="1:15">
      <c r="A22" t="s">
        <v>35</v>
      </c>
      <c r="B22" t="s">
        <v>31</v>
      </c>
      <c r="C22">
        <v>1802697</v>
      </c>
      <c r="D22">
        <v>835238</v>
      </c>
      <c r="E22">
        <v>803755</v>
      </c>
      <c r="F22">
        <v>756605</v>
      </c>
      <c r="G22">
        <v>47150</v>
      </c>
      <c r="H22">
        <v>154282</v>
      </c>
      <c r="I22">
        <v>581552</v>
      </c>
      <c r="J22">
        <v>20771</v>
      </c>
      <c r="K22">
        <v>0.2039</v>
      </c>
      <c r="L22">
        <v>0.76859999999999995</v>
      </c>
      <c r="M22">
        <v>2.7500000000000101E-2</v>
      </c>
      <c r="N22">
        <v>0.445862504902377</v>
      </c>
      <c r="O22" t="str">
        <f>IF(DATA[[#This Row],[APC Votes]]&gt;DATA[[#This Row],[PDP Votes]],"APC States","PDP States")</f>
        <v>APC States</v>
      </c>
    </row>
    <row r="23" spans="1:15">
      <c r="A23" t="s">
        <v>36</v>
      </c>
      <c r="B23" t="s">
        <v>19</v>
      </c>
      <c r="C23">
        <v>1640449</v>
      </c>
      <c r="D23">
        <v>570773</v>
      </c>
      <c r="E23">
        <v>553496</v>
      </c>
      <c r="F23">
        <v>521016</v>
      </c>
      <c r="G23">
        <v>32480</v>
      </c>
      <c r="H23">
        <v>218207</v>
      </c>
      <c r="I23">
        <v>285894</v>
      </c>
      <c r="J23">
        <v>16915</v>
      </c>
      <c r="K23">
        <v>0.41880000000000001</v>
      </c>
      <c r="L23">
        <v>0.54869999999999997</v>
      </c>
      <c r="M23">
        <v>3.2500000000000001E-2</v>
      </c>
      <c r="N23">
        <v>0.337405186019194</v>
      </c>
      <c r="O23" t="str">
        <f>IF(DATA[[#This Row],[APC Votes]]&gt;DATA[[#This Row],[PDP Votes]],"APC States","PDP States")</f>
        <v>APC States</v>
      </c>
    </row>
    <row r="24" spans="1:15">
      <c r="A24" t="s">
        <v>37</v>
      </c>
      <c r="B24" t="s">
        <v>19</v>
      </c>
      <c r="C24">
        <v>1401895</v>
      </c>
      <c r="D24">
        <v>489482</v>
      </c>
      <c r="E24">
        <v>486254</v>
      </c>
      <c r="F24">
        <v>459676</v>
      </c>
      <c r="G24">
        <v>26578</v>
      </c>
      <c r="H24">
        <v>138184</v>
      </c>
      <c r="I24">
        <v>308984</v>
      </c>
      <c r="J24">
        <v>12508</v>
      </c>
      <c r="K24">
        <v>0.30059999999999998</v>
      </c>
      <c r="L24">
        <v>0.67220000000000002</v>
      </c>
      <c r="M24">
        <v>2.7199999999999998E-2</v>
      </c>
      <c r="N24">
        <v>0.34685479297664901</v>
      </c>
      <c r="O24" t="str">
        <f>IF(DATA[[#This Row],[APC Votes]]&gt;DATA[[#This Row],[PDP Votes]],"APC States","PDP States")</f>
        <v>APC States</v>
      </c>
    </row>
    <row r="25" spans="1:15">
      <c r="A25" t="s">
        <v>38</v>
      </c>
      <c r="B25" t="s">
        <v>26</v>
      </c>
      <c r="C25">
        <v>6313507</v>
      </c>
      <c r="D25">
        <v>1196490</v>
      </c>
      <c r="E25">
        <v>1156590</v>
      </c>
      <c r="F25">
        <v>1089567</v>
      </c>
      <c r="G25">
        <v>67023</v>
      </c>
      <c r="H25">
        <v>448015</v>
      </c>
      <c r="I25">
        <v>580825</v>
      </c>
      <c r="J25">
        <v>60727</v>
      </c>
      <c r="K25">
        <v>0.41120000000000001</v>
      </c>
      <c r="L25">
        <v>0.53310000000000002</v>
      </c>
      <c r="M25">
        <v>5.57E-2</v>
      </c>
      <c r="N25">
        <v>0.183192954407115</v>
      </c>
      <c r="O25" t="str">
        <f>IF(DATA[[#This Row],[APC Votes]]&gt;DATA[[#This Row],[PDP Votes]],"APC States","PDP States")</f>
        <v>APC States</v>
      </c>
    </row>
    <row r="26" spans="1:15">
      <c r="A26" t="s">
        <v>39</v>
      </c>
      <c r="B26" t="s">
        <v>19</v>
      </c>
      <c r="C26">
        <v>1509481</v>
      </c>
      <c r="D26">
        <v>613720</v>
      </c>
      <c r="E26">
        <v>599399</v>
      </c>
      <c r="F26">
        <v>580778</v>
      </c>
      <c r="G26">
        <v>18621</v>
      </c>
      <c r="H26">
        <v>283847</v>
      </c>
      <c r="I26">
        <v>289903</v>
      </c>
      <c r="J26">
        <v>7028</v>
      </c>
      <c r="K26">
        <v>0.48870000000000002</v>
      </c>
      <c r="L26">
        <v>0.49919999999999998</v>
      </c>
      <c r="M26">
        <v>1.21E-2</v>
      </c>
      <c r="N26">
        <v>0.39708946319960298</v>
      </c>
      <c r="O26" t="str">
        <f>IF(DATA[[#This Row],[APC Votes]]&gt;DATA[[#This Row],[PDP Votes]],"APC States","PDP States")</f>
        <v>APC States</v>
      </c>
    </row>
    <row r="27" spans="1:15">
      <c r="A27" t="s">
        <v>40</v>
      </c>
      <c r="B27" t="s">
        <v>19</v>
      </c>
      <c r="C27">
        <v>2375568</v>
      </c>
      <c r="D27">
        <v>911964</v>
      </c>
      <c r="E27">
        <v>896976</v>
      </c>
      <c r="F27">
        <v>851937</v>
      </c>
      <c r="G27">
        <v>45039</v>
      </c>
      <c r="H27">
        <v>218052</v>
      </c>
      <c r="I27">
        <v>612371</v>
      </c>
      <c r="J27">
        <v>21514</v>
      </c>
      <c r="K27">
        <v>0.25590000000000002</v>
      </c>
      <c r="L27">
        <v>0.71879999999999999</v>
      </c>
      <c r="M27">
        <v>2.53E-2</v>
      </c>
      <c r="N27">
        <v>0.37758380311571799</v>
      </c>
      <c r="O27" t="str">
        <f>IF(DATA[[#This Row],[APC Votes]]&gt;DATA[[#This Row],[PDP Votes]],"APC States","PDP States")</f>
        <v>APC States</v>
      </c>
    </row>
    <row r="28" spans="1:15">
      <c r="A28" t="s">
        <v>41</v>
      </c>
      <c r="B28" t="s">
        <v>26</v>
      </c>
      <c r="C28">
        <v>2336887</v>
      </c>
      <c r="D28">
        <v>613397</v>
      </c>
      <c r="E28">
        <v>605938</v>
      </c>
      <c r="F28">
        <v>564256</v>
      </c>
      <c r="G28">
        <v>41682</v>
      </c>
      <c r="H28">
        <v>194655</v>
      </c>
      <c r="I28">
        <v>281762</v>
      </c>
      <c r="J28">
        <v>87839</v>
      </c>
      <c r="K28">
        <v>0.34499999999999997</v>
      </c>
      <c r="L28">
        <v>0.49940000000000001</v>
      </c>
      <c r="M28">
        <v>0.15559999999999999</v>
      </c>
      <c r="N28">
        <v>0.25929281133405302</v>
      </c>
      <c r="O28" t="str">
        <f>IF(DATA[[#This Row],[APC Votes]]&gt;DATA[[#This Row],[PDP Votes]],"APC States","PDP States")</f>
        <v>APC States</v>
      </c>
    </row>
    <row r="29" spans="1:15">
      <c r="A29" t="s">
        <v>42</v>
      </c>
      <c r="B29" t="s">
        <v>26</v>
      </c>
      <c r="C29">
        <v>1812567</v>
      </c>
      <c r="D29">
        <v>598586</v>
      </c>
      <c r="E29">
        <v>586827</v>
      </c>
      <c r="F29">
        <v>555994</v>
      </c>
      <c r="G29">
        <v>30833</v>
      </c>
      <c r="H29">
        <v>275901</v>
      </c>
      <c r="I29">
        <v>241769</v>
      </c>
      <c r="J29">
        <v>38324</v>
      </c>
      <c r="K29">
        <v>0.49619999999999997</v>
      </c>
      <c r="L29">
        <v>0.43480000000000002</v>
      </c>
      <c r="M29">
        <v>6.9000000000000006E-2</v>
      </c>
      <c r="N29">
        <v>0.32375465293145</v>
      </c>
      <c r="O29" t="str">
        <f>IF(DATA[[#This Row],[APC Votes]]&gt;DATA[[#This Row],[PDP Votes]],"APC States","PDP States")</f>
        <v>PDP States</v>
      </c>
    </row>
    <row r="30" spans="1:15">
      <c r="A30" t="s">
        <v>43</v>
      </c>
      <c r="B30" t="s">
        <v>26</v>
      </c>
      <c r="C30">
        <v>1674729</v>
      </c>
      <c r="D30">
        <v>732984</v>
      </c>
      <c r="E30">
        <v>731882</v>
      </c>
      <c r="F30">
        <v>714682</v>
      </c>
      <c r="G30">
        <v>17200</v>
      </c>
      <c r="H30">
        <v>337377</v>
      </c>
      <c r="I30">
        <v>347634</v>
      </c>
      <c r="J30">
        <v>29671</v>
      </c>
      <c r="K30">
        <v>0.47210000000000002</v>
      </c>
      <c r="L30">
        <v>0.4864</v>
      </c>
      <c r="M30">
        <v>4.1500000000000002E-2</v>
      </c>
      <c r="N30">
        <v>0.437015182754941</v>
      </c>
      <c r="O30" t="str">
        <f>IF(DATA[[#This Row],[APC Votes]]&gt;DATA[[#This Row],[PDP Votes]],"APC States","PDP States")</f>
        <v>APC States</v>
      </c>
    </row>
    <row r="31" spans="1:15">
      <c r="A31" t="s">
        <v>44</v>
      </c>
      <c r="B31" t="s">
        <v>26</v>
      </c>
      <c r="C31">
        <v>2796542</v>
      </c>
      <c r="D31">
        <v>905007</v>
      </c>
      <c r="E31">
        <v>891080</v>
      </c>
      <c r="F31">
        <v>836531</v>
      </c>
      <c r="G31">
        <v>54549</v>
      </c>
      <c r="H31">
        <v>366690</v>
      </c>
      <c r="I31">
        <v>365229</v>
      </c>
      <c r="J31">
        <v>104612</v>
      </c>
      <c r="K31">
        <v>0.43830000000000002</v>
      </c>
      <c r="L31">
        <v>0.43659999999999999</v>
      </c>
      <c r="M31">
        <v>0.12509999999999999</v>
      </c>
      <c r="N31">
        <v>0.31863637306359099</v>
      </c>
      <c r="O31" t="str">
        <f>IF(DATA[[#This Row],[APC Votes]]&gt;DATA[[#This Row],[PDP Votes]],"APC States","PDP States")</f>
        <v>PDP States</v>
      </c>
    </row>
    <row r="32" spans="1:15">
      <c r="A32" t="s">
        <v>45</v>
      </c>
      <c r="B32" t="s">
        <v>19</v>
      </c>
      <c r="C32">
        <v>2423381</v>
      </c>
      <c r="D32">
        <v>1074042</v>
      </c>
      <c r="E32">
        <v>1062862</v>
      </c>
      <c r="F32">
        <v>1034853</v>
      </c>
      <c r="G32">
        <v>28009</v>
      </c>
      <c r="H32">
        <v>548665</v>
      </c>
      <c r="I32">
        <v>468555</v>
      </c>
      <c r="J32">
        <v>17633</v>
      </c>
      <c r="K32">
        <v>0.5302</v>
      </c>
      <c r="L32">
        <v>0.45279999999999998</v>
      </c>
      <c r="M32">
        <v>1.7000000000000001E-2</v>
      </c>
      <c r="N32">
        <v>0.43858642120244401</v>
      </c>
      <c r="O32" t="str">
        <f>IF(DATA[[#This Row],[APC Votes]]&gt;DATA[[#This Row],[PDP Votes]],"APC States","PDP States")</f>
        <v>PDP States</v>
      </c>
    </row>
    <row r="33" spans="1:15">
      <c r="A33" t="s">
        <v>46</v>
      </c>
      <c r="B33" t="s">
        <v>14</v>
      </c>
      <c r="C33">
        <v>3215273</v>
      </c>
      <c r="D33">
        <v>678167</v>
      </c>
      <c r="E33">
        <v>666585</v>
      </c>
      <c r="F33">
        <v>642165</v>
      </c>
      <c r="G33">
        <v>24420</v>
      </c>
      <c r="H33">
        <v>473971</v>
      </c>
      <c r="I33">
        <v>150710</v>
      </c>
      <c r="J33">
        <v>17484</v>
      </c>
      <c r="K33">
        <v>0.73809999999999998</v>
      </c>
      <c r="L33">
        <v>0.23469999999999999</v>
      </c>
      <c r="M33">
        <v>2.7199999999999998E-2</v>
      </c>
      <c r="N33">
        <v>0.20731832102592801</v>
      </c>
      <c r="O33" t="str">
        <f>IF(DATA[[#This Row],[APC Votes]]&gt;DATA[[#This Row],[PDP Votes]],"APC States","PDP States")</f>
        <v>PDP States</v>
      </c>
    </row>
    <row r="34" spans="1:15">
      <c r="A34" t="s">
        <v>47</v>
      </c>
      <c r="B34" t="s">
        <v>31</v>
      </c>
      <c r="C34">
        <v>1895266</v>
      </c>
      <c r="D34">
        <v>950107</v>
      </c>
      <c r="E34">
        <v>925940</v>
      </c>
      <c r="F34">
        <v>871891</v>
      </c>
      <c r="G34">
        <v>54049</v>
      </c>
      <c r="H34">
        <v>361604</v>
      </c>
      <c r="I34">
        <v>490333</v>
      </c>
      <c r="J34">
        <v>19954</v>
      </c>
      <c r="K34">
        <v>0.41470000000000001</v>
      </c>
      <c r="L34">
        <v>0.56240000000000001</v>
      </c>
      <c r="M34">
        <v>2.28999999999999E-2</v>
      </c>
      <c r="N34">
        <v>0.48855411324848302</v>
      </c>
      <c r="O34" t="str">
        <f>IF(DATA[[#This Row],[APC Votes]]&gt;DATA[[#This Row],[PDP Votes]],"APC States","PDP States")</f>
        <v>APC States</v>
      </c>
    </row>
    <row r="35" spans="1:15">
      <c r="A35" t="s">
        <v>48</v>
      </c>
      <c r="B35" t="s">
        <v>12</v>
      </c>
      <c r="C35">
        <v>1777105</v>
      </c>
      <c r="D35">
        <v>756111</v>
      </c>
      <c r="E35">
        <v>741564</v>
      </c>
      <c r="F35">
        <v>712877</v>
      </c>
      <c r="G35">
        <v>28687</v>
      </c>
      <c r="H35">
        <v>374743</v>
      </c>
      <c r="I35">
        <v>324906</v>
      </c>
      <c r="J35">
        <v>13228</v>
      </c>
      <c r="K35">
        <v>0.52569999999999995</v>
      </c>
      <c r="L35">
        <v>0.45579999999999998</v>
      </c>
      <c r="M35">
        <v>1.85000000000001E-2</v>
      </c>
      <c r="N35">
        <v>0.417287667301594</v>
      </c>
      <c r="O35" t="str">
        <f>IF(DATA[[#This Row],[APC Votes]]&gt;DATA[[#This Row],[PDP Votes]],"APC States","PDP States")</f>
        <v>PDP States</v>
      </c>
    </row>
    <row r="36" spans="1:15">
      <c r="A36" t="s">
        <v>49</v>
      </c>
      <c r="B36" t="s">
        <v>12</v>
      </c>
      <c r="C36">
        <v>1365913</v>
      </c>
      <c r="D36">
        <v>601059</v>
      </c>
      <c r="E36">
        <v>586137</v>
      </c>
      <c r="F36">
        <v>559365</v>
      </c>
      <c r="G36">
        <v>26772</v>
      </c>
      <c r="H36">
        <v>50763</v>
      </c>
      <c r="I36">
        <v>497914</v>
      </c>
      <c r="J36">
        <v>10688</v>
      </c>
      <c r="K36">
        <v>9.0800000000000006E-2</v>
      </c>
      <c r="L36">
        <v>0.8901</v>
      </c>
      <c r="M36">
        <v>1.9099999999999999E-2</v>
      </c>
      <c r="N36">
        <v>0.42911737423979401</v>
      </c>
      <c r="O36" t="str">
        <f>IF(DATA[[#This Row],[APC Votes]]&gt;DATA[[#This Row],[PDP Votes]],"APC States","PDP States")</f>
        <v>APC States</v>
      </c>
    </row>
    <row r="37" spans="1:15">
      <c r="A37" t="s">
        <v>50</v>
      </c>
      <c r="B37" t="s">
        <v>31</v>
      </c>
      <c r="C37">
        <v>1717128</v>
      </c>
      <c r="D37">
        <v>616168</v>
      </c>
      <c r="E37">
        <v>597224</v>
      </c>
      <c r="F37">
        <v>578439</v>
      </c>
      <c r="G37">
        <v>18785</v>
      </c>
      <c r="H37">
        <v>125423</v>
      </c>
      <c r="I37">
        <v>438682</v>
      </c>
      <c r="J37">
        <v>14334</v>
      </c>
      <c r="K37">
        <v>0.21679999999999999</v>
      </c>
      <c r="L37">
        <v>0.75839999999999996</v>
      </c>
      <c r="M37">
        <v>2.4799999999999999E-2</v>
      </c>
      <c r="N37">
        <v>0.34780400762202901</v>
      </c>
      <c r="O37" t="str">
        <f>IF(DATA[[#This Row],[APC Votes]]&gt;DATA[[#This Row],[PDP Votes]],"APC States","PDP States")</f>
        <v>APC States</v>
      </c>
    </row>
    <row r="38" spans="1:15">
      <c r="A38" t="s">
        <v>51</v>
      </c>
      <c r="B38" t="s">
        <v>19</v>
      </c>
      <c r="C38">
        <v>1335015</v>
      </c>
      <c r="D38">
        <v>467784</v>
      </c>
      <c r="E38">
        <v>451408</v>
      </c>
      <c r="F38">
        <v>423951</v>
      </c>
      <c r="G38">
        <v>27457</v>
      </c>
      <c r="H38">
        <v>259997</v>
      </c>
      <c r="I38">
        <v>152224</v>
      </c>
      <c r="J38">
        <v>11730</v>
      </c>
      <c r="K38">
        <v>0.61329999999999996</v>
      </c>
      <c r="L38">
        <v>0.35909999999999997</v>
      </c>
      <c r="M38">
        <v>2.76000000000001E-2</v>
      </c>
      <c r="N38">
        <v>0.33812953412508501</v>
      </c>
      <c r="O38" t="str">
        <f>IF(DATA[[#This Row],[APC Votes]]&gt;DATA[[#This Row],[PDP Votes]],"APC States","PDP States")</f>
        <v>PDP States</v>
      </c>
    </row>
  </sheetData>
  <phoneticPr fontId="2"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5031A-2E91-49B5-A8E9-87A29C05ABE6}">
  <dimension ref="C1:W44"/>
  <sheetViews>
    <sheetView zoomScale="90" zoomScaleNormal="90" workbookViewId="0">
      <selection activeCell="G19" sqref="G19"/>
    </sheetView>
  </sheetViews>
  <sheetFormatPr defaultRowHeight="17.399999999999999"/>
  <cols>
    <col min="3" max="3" width="10.19921875" bestFit="1" customWidth="1"/>
    <col min="4" max="4" width="10.3984375" bestFit="1" customWidth="1"/>
    <col min="5" max="5" width="18.5" bestFit="1" customWidth="1"/>
    <col min="6" max="6" width="14.796875" bestFit="1" customWidth="1"/>
    <col min="7" max="7" width="15.5" bestFit="1" customWidth="1"/>
    <col min="11" max="11" width="9.296875" bestFit="1" customWidth="1"/>
    <col min="12" max="12" width="15.5" bestFit="1" customWidth="1"/>
    <col min="13" max="15" width="21.8984375" customWidth="1"/>
    <col min="16" max="16" width="20.3984375" customWidth="1"/>
    <col min="17" max="17" width="7.796875" bestFit="1" customWidth="1"/>
    <col min="18" max="18" width="17.3984375" bestFit="1" customWidth="1"/>
    <col min="19" max="19" width="12.296875" bestFit="1" customWidth="1"/>
    <col min="20" max="20" width="19.5" bestFit="1" customWidth="1"/>
    <col min="21" max="21" width="8.8984375" bestFit="1" customWidth="1"/>
    <col min="22" max="22" width="7.796875" bestFit="1" customWidth="1"/>
    <col min="23" max="23" width="5.296875" style="15" customWidth="1"/>
    <col min="24" max="24" width="16.69921875" bestFit="1" customWidth="1"/>
    <col min="25" max="25" width="6.09765625" bestFit="1" customWidth="1"/>
    <col min="26" max="26" width="10.296875" bestFit="1" customWidth="1"/>
    <col min="27" max="27" width="5.5" bestFit="1" customWidth="1"/>
    <col min="28" max="28" width="6.69921875" bestFit="1" customWidth="1"/>
    <col min="29" max="29" width="4.09765625" bestFit="1" customWidth="1"/>
    <col min="30" max="30" width="4.296875" bestFit="1" customWidth="1"/>
    <col min="31" max="31" width="6.296875" bestFit="1" customWidth="1"/>
    <col min="32" max="32" width="4.19921875" bestFit="1" customWidth="1"/>
    <col min="33" max="33" width="7.296875" bestFit="1" customWidth="1"/>
    <col min="34" max="34" width="4.19921875" bestFit="1" customWidth="1"/>
    <col min="35" max="35" width="7" bestFit="1" customWidth="1"/>
    <col min="36" max="36" width="7.5" bestFit="1" customWidth="1"/>
    <col min="37" max="37" width="5.296875" bestFit="1" customWidth="1"/>
    <col min="38" max="38" width="7.296875" bestFit="1" customWidth="1"/>
    <col min="39" max="39" width="5.796875" bestFit="1" customWidth="1"/>
    <col min="40" max="40" width="4.69921875" bestFit="1" customWidth="1"/>
    <col min="41" max="41" width="6.19921875" bestFit="1" customWidth="1"/>
    <col min="42" max="42" width="6" bestFit="1" customWidth="1"/>
    <col min="43" max="43" width="9.5" bestFit="1" customWidth="1"/>
    <col min="44" max="44" width="5.5" bestFit="1" customWidth="1"/>
    <col min="45" max="46" width="5.69921875" bestFit="1" customWidth="1"/>
    <col min="47" max="47" width="5.3984375" bestFit="1" customWidth="1"/>
    <col min="48" max="48" width="4.3984375" bestFit="1" customWidth="1"/>
    <col min="49" max="49" width="7.5" bestFit="1" customWidth="1"/>
    <col min="50" max="50" width="6.19921875" bestFit="1" customWidth="1"/>
    <col min="51" max="51" width="6.8984375" bestFit="1" customWidth="1"/>
    <col min="52" max="52" width="7.09765625" bestFit="1" customWidth="1"/>
    <col min="53" max="53" width="5.296875" bestFit="1" customWidth="1"/>
    <col min="54" max="54" width="8.296875" bestFit="1" customWidth="1"/>
    <col min="55" max="55" width="11.19921875" bestFit="1" customWidth="1"/>
  </cols>
  <sheetData>
    <row r="1" spans="3:23">
      <c r="E1" s="17" t="s">
        <v>94</v>
      </c>
      <c r="F1" s="16"/>
      <c r="G1" s="16"/>
      <c r="H1" s="16"/>
    </row>
    <row r="2" spans="3:23">
      <c r="E2" s="16"/>
      <c r="F2" s="16"/>
      <c r="G2" s="16"/>
      <c r="H2" s="16"/>
    </row>
    <row r="5" spans="3:23">
      <c r="C5" s="13" t="s">
        <v>53</v>
      </c>
      <c r="D5" s="13"/>
      <c r="K5" s="13" t="s">
        <v>66</v>
      </c>
      <c r="L5" s="13"/>
      <c r="M5" s="10"/>
      <c r="N5" s="10"/>
      <c r="O5" s="10"/>
      <c r="Q5" s="12"/>
      <c r="R5" s="12"/>
      <c r="V5" s="12"/>
      <c r="W5" s="14"/>
    </row>
    <row r="7" spans="3:23">
      <c r="C7" t="s">
        <v>56</v>
      </c>
      <c r="D7" t="s">
        <v>57</v>
      </c>
      <c r="E7" t="s">
        <v>58</v>
      </c>
      <c r="F7" t="s">
        <v>59</v>
      </c>
      <c r="G7" t="s">
        <v>60</v>
      </c>
      <c r="K7" s="3" t="s">
        <v>0</v>
      </c>
      <c r="L7" t="s">
        <v>60</v>
      </c>
      <c r="N7" t="str">
        <f>K7</f>
        <v>State</v>
      </c>
      <c r="O7" t="str">
        <f>L7</f>
        <v xml:space="preserve"> Voter Turnout %</v>
      </c>
    </row>
    <row r="8" spans="3:23">
      <c r="C8" s="9">
        <v>82344107</v>
      </c>
      <c r="D8" s="9">
        <v>29364209</v>
      </c>
      <c r="E8" s="9">
        <v>27324583</v>
      </c>
      <c r="F8" s="9">
        <v>1289607</v>
      </c>
      <c r="G8" s="1">
        <v>0.35632388625355588</v>
      </c>
      <c r="K8" t="s">
        <v>9</v>
      </c>
      <c r="L8" s="2">
        <v>0.19202769891312599</v>
      </c>
      <c r="M8" s="2"/>
      <c r="N8" t="str">
        <f t="shared" ref="N8:N44" si="0">K8</f>
        <v>Abia</v>
      </c>
      <c r="O8" s="11">
        <f t="shared" ref="O8:O44" si="1">L8</f>
        <v>0.19202769891312599</v>
      </c>
    </row>
    <row r="9" spans="3:23">
      <c r="C9" s="1"/>
      <c r="D9" s="1"/>
      <c r="E9" s="1"/>
      <c r="F9" s="1"/>
      <c r="G9" s="2"/>
      <c r="K9" t="s">
        <v>11</v>
      </c>
      <c r="L9" s="2">
        <v>0.43931319099157801</v>
      </c>
      <c r="M9" s="2"/>
      <c r="N9" t="str">
        <f t="shared" si="0"/>
        <v>Adamawa</v>
      </c>
      <c r="O9" s="11">
        <f t="shared" si="1"/>
        <v>0.43931319099157801</v>
      </c>
    </row>
    <row r="10" spans="3:23">
      <c r="C10" s="1"/>
      <c r="D10" s="1"/>
      <c r="E10" s="1"/>
      <c r="F10" s="1"/>
      <c r="G10" s="2"/>
      <c r="K10" t="s">
        <v>13</v>
      </c>
      <c r="L10" s="2">
        <v>0.28548015852984798</v>
      </c>
      <c r="M10" s="2"/>
      <c r="N10" t="str">
        <f t="shared" si="0"/>
        <v>Akwa Ibom</v>
      </c>
      <c r="O10" s="11">
        <f t="shared" si="1"/>
        <v>0.28548015852984798</v>
      </c>
    </row>
    <row r="11" spans="3:23">
      <c r="K11" t="s">
        <v>15</v>
      </c>
      <c r="L11" s="2">
        <v>0.26159403548774302</v>
      </c>
      <c r="M11" s="2"/>
      <c r="N11" t="str">
        <f t="shared" si="0"/>
        <v>Anambra</v>
      </c>
      <c r="O11" s="11">
        <f t="shared" si="1"/>
        <v>0.26159403548774302</v>
      </c>
    </row>
    <row r="12" spans="3:23">
      <c r="C12" s="13" t="s">
        <v>61</v>
      </c>
      <c r="D12" s="13"/>
      <c r="K12" t="s">
        <v>16</v>
      </c>
      <c r="L12" s="2">
        <v>0.43283057103450101</v>
      </c>
      <c r="M12" s="2"/>
      <c r="N12" t="str">
        <f t="shared" si="0"/>
        <v>Bauchi</v>
      </c>
      <c r="O12" s="11">
        <f t="shared" si="1"/>
        <v>0.43283057103450101</v>
      </c>
    </row>
    <row r="13" spans="3:23">
      <c r="K13" t="s">
        <v>17</v>
      </c>
      <c r="L13" s="2">
        <v>0.36380258713883101</v>
      </c>
      <c r="M13" s="2"/>
      <c r="N13" t="str">
        <f t="shared" si="0"/>
        <v>Bayelsa</v>
      </c>
      <c r="O13" s="11">
        <f t="shared" si="1"/>
        <v>0.36380258713883101</v>
      </c>
    </row>
    <row r="14" spans="3:23">
      <c r="C14" t="s">
        <v>62</v>
      </c>
      <c r="D14" t="s">
        <v>63</v>
      </c>
      <c r="E14" t="s">
        <v>87</v>
      </c>
      <c r="K14" t="s">
        <v>18</v>
      </c>
      <c r="L14" s="2">
        <v>0.31944116864803601</v>
      </c>
      <c r="M14" s="2"/>
      <c r="N14" t="str">
        <f t="shared" si="0"/>
        <v>Benue</v>
      </c>
      <c r="O14" s="11">
        <f t="shared" si="1"/>
        <v>0.31944116864803601</v>
      </c>
    </row>
    <row r="15" spans="3:23">
      <c r="C15" s="9">
        <v>11262978</v>
      </c>
      <c r="D15" s="9">
        <v>15191847</v>
      </c>
      <c r="E15" s="9">
        <v>869758</v>
      </c>
      <c r="K15" t="s">
        <v>20</v>
      </c>
      <c r="L15" s="2">
        <v>0.41182676463309598</v>
      </c>
      <c r="M15" s="2"/>
      <c r="N15" t="str">
        <f t="shared" si="0"/>
        <v>Borno</v>
      </c>
      <c r="O15" s="11">
        <f t="shared" si="1"/>
        <v>0.41182676463309598</v>
      </c>
    </row>
    <row r="16" spans="3:23">
      <c r="C16" s="1"/>
      <c r="D16" s="1"/>
      <c r="K16" t="s">
        <v>21</v>
      </c>
      <c r="L16" s="2">
        <v>0.29482555199730298</v>
      </c>
      <c r="M16" s="2"/>
      <c r="N16" t="str">
        <f t="shared" si="0"/>
        <v>Cross river</v>
      </c>
      <c r="O16" s="11">
        <f t="shared" si="1"/>
        <v>0.29482555199730298</v>
      </c>
    </row>
    <row r="17" spans="3:20">
      <c r="C17" s="1"/>
      <c r="D17" s="1"/>
      <c r="K17" t="s">
        <v>22</v>
      </c>
      <c r="L17" s="2">
        <v>0.32444003319956199</v>
      </c>
      <c r="M17" s="2"/>
      <c r="N17" t="str">
        <f t="shared" si="0"/>
        <v>Delta</v>
      </c>
      <c r="O17" s="11">
        <f t="shared" si="1"/>
        <v>0.32444003319956199</v>
      </c>
      <c r="Q17" s="13" t="s">
        <v>64</v>
      </c>
      <c r="R17" s="13"/>
    </row>
    <row r="18" spans="3:20">
      <c r="K18" t="s">
        <v>23</v>
      </c>
      <c r="L18" s="2">
        <v>0.27237099325092201</v>
      </c>
      <c r="M18" s="2"/>
      <c r="N18" t="str">
        <f t="shared" si="0"/>
        <v>Ebonyi</v>
      </c>
      <c r="O18" s="11">
        <f t="shared" si="1"/>
        <v>0.27237099325092201</v>
      </c>
    </row>
    <row r="19" spans="3:20">
      <c r="C19" t="str">
        <f t="shared" ref="C19:E20" si="2">C14</f>
        <v xml:space="preserve"> PDP Votes</v>
      </c>
      <c r="D19" t="str">
        <f t="shared" si="2"/>
        <v xml:space="preserve"> APC Votes</v>
      </c>
      <c r="E19" t="str">
        <f t="shared" si="2"/>
        <v xml:space="preserve"> Other Parties Votes</v>
      </c>
      <c r="K19" t="s">
        <v>24</v>
      </c>
      <c r="L19" s="2">
        <v>0.27869423527075399</v>
      </c>
      <c r="M19" s="2"/>
      <c r="N19" t="str">
        <f t="shared" si="0"/>
        <v>Edo</v>
      </c>
      <c r="O19" s="11">
        <f t="shared" si="1"/>
        <v>0.27869423527075399</v>
      </c>
      <c r="Q19" s="3" t="s">
        <v>1</v>
      </c>
      <c r="R19" t="s">
        <v>88</v>
      </c>
      <c r="S19" t="s">
        <v>89</v>
      </c>
      <c r="T19" t="s">
        <v>90</v>
      </c>
    </row>
    <row r="20" spans="3:20">
      <c r="C20" s="9">
        <f t="shared" si="2"/>
        <v>11262978</v>
      </c>
      <c r="D20" s="9">
        <f t="shared" si="2"/>
        <v>15191847</v>
      </c>
      <c r="E20" s="9">
        <f t="shared" si="2"/>
        <v>869758</v>
      </c>
      <c r="F20" s="9"/>
      <c r="K20" t="s">
        <v>25</v>
      </c>
      <c r="L20" s="2">
        <v>0.43749381888814398</v>
      </c>
      <c r="M20" s="2"/>
      <c r="N20" t="str">
        <f t="shared" si="0"/>
        <v>Ekiti</v>
      </c>
      <c r="O20" s="11">
        <f t="shared" si="1"/>
        <v>0.43749381888814398</v>
      </c>
      <c r="Q20" t="s">
        <v>19</v>
      </c>
      <c r="R20" s="2">
        <v>0.44242857142857134</v>
      </c>
      <c r="S20" s="2">
        <v>0.53254285714285721</v>
      </c>
      <c r="T20" s="2">
        <v>2.5028571428571459E-2</v>
      </c>
    </row>
    <row r="21" spans="3:20">
      <c r="K21" t="s">
        <v>27</v>
      </c>
      <c r="L21" s="2">
        <v>0.23308725650692899</v>
      </c>
      <c r="M21" s="2"/>
      <c r="N21" t="str">
        <f t="shared" si="0"/>
        <v>Enugu</v>
      </c>
      <c r="O21" s="11">
        <f t="shared" si="1"/>
        <v>0.23308725650692899</v>
      </c>
      <c r="Q21" t="s">
        <v>12</v>
      </c>
      <c r="R21" s="2">
        <v>0.2757</v>
      </c>
      <c r="S21" s="2">
        <v>0.70463333333333333</v>
      </c>
      <c r="T21" s="2">
        <v>1.9666666666666718E-2</v>
      </c>
    </row>
    <row r="22" spans="3:20">
      <c r="K22" t="s">
        <v>28</v>
      </c>
      <c r="L22" s="2">
        <v>0.41918334727846202</v>
      </c>
      <c r="M22" s="2"/>
      <c r="N22" t="str">
        <f t="shared" si="0"/>
        <v>Gombe</v>
      </c>
      <c r="O22" s="11">
        <f t="shared" si="1"/>
        <v>0.41918334727846202</v>
      </c>
      <c r="Q22" t="s">
        <v>31</v>
      </c>
      <c r="R22" s="2">
        <v>0.27044285714285715</v>
      </c>
      <c r="S22" s="2">
        <v>0.71022857142857132</v>
      </c>
      <c r="T22" s="2">
        <v>1.9328571428571428E-2</v>
      </c>
    </row>
    <row r="23" spans="3:20">
      <c r="K23" t="s">
        <v>29</v>
      </c>
      <c r="L23" s="2">
        <v>0.26638459850930202</v>
      </c>
      <c r="M23" s="2"/>
      <c r="N23" t="str">
        <f t="shared" si="0"/>
        <v>Imo</v>
      </c>
      <c r="O23" s="11">
        <f t="shared" si="1"/>
        <v>0.26638459850930202</v>
      </c>
      <c r="Q23" t="s">
        <v>10</v>
      </c>
      <c r="R23" s="2">
        <v>0.75302000000000002</v>
      </c>
      <c r="S23" s="2">
        <v>0.19491999999999998</v>
      </c>
      <c r="T23" s="2">
        <v>5.2060000000000016E-2</v>
      </c>
    </row>
    <row r="24" spans="3:20">
      <c r="K24" t="s">
        <v>30</v>
      </c>
      <c r="L24" s="2">
        <v>0.54631004295238395</v>
      </c>
      <c r="M24" s="2"/>
      <c r="N24" t="str">
        <f t="shared" si="0"/>
        <v>Jigawa</v>
      </c>
      <c r="O24" s="11">
        <f t="shared" si="1"/>
        <v>0.54631004295238395</v>
      </c>
      <c r="Q24" t="s">
        <v>14</v>
      </c>
      <c r="R24" s="2">
        <v>0.65761666666666674</v>
      </c>
      <c r="S24" s="2">
        <v>0.32158333333333333</v>
      </c>
      <c r="T24" s="2">
        <v>2.0800000000000051E-2</v>
      </c>
    </row>
    <row r="25" spans="3:20">
      <c r="K25" t="s">
        <v>32</v>
      </c>
      <c r="L25" s="2">
        <v>0.44262895447928002</v>
      </c>
      <c r="M25" s="2"/>
      <c r="N25" t="str">
        <f t="shared" si="0"/>
        <v>Kaduna</v>
      </c>
      <c r="O25" s="11">
        <f t="shared" si="1"/>
        <v>0.44262895447928002</v>
      </c>
      <c r="Q25" t="s">
        <v>26</v>
      </c>
      <c r="R25" s="2">
        <v>0.42781666666666668</v>
      </c>
      <c r="S25" s="2">
        <v>0.49425000000000002</v>
      </c>
      <c r="T25" s="2">
        <v>7.7933333333333313E-2</v>
      </c>
    </row>
    <row r="26" spans="3:20">
      <c r="K26" t="s">
        <v>33</v>
      </c>
      <c r="L26" s="2">
        <v>0.36441092139763798</v>
      </c>
      <c r="M26" s="2"/>
      <c r="N26" t="str">
        <f t="shared" si="0"/>
        <v>Kano</v>
      </c>
      <c r="O26" s="11">
        <f t="shared" si="1"/>
        <v>0.36441092139763798</v>
      </c>
      <c r="Q26" t="s">
        <v>65</v>
      </c>
      <c r="R26" s="2">
        <v>0.45735135135135135</v>
      </c>
      <c r="S26" s="2">
        <v>0.50802162162162168</v>
      </c>
      <c r="T26" s="2">
        <v>3.4627027027027052E-2</v>
      </c>
    </row>
    <row r="27" spans="3:20">
      <c r="K27" t="s">
        <v>34</v>
      </c>
      <c r="L27" s="2">
        <v>0.50435269880408196</v>
      </c>
      <c r="M27" s="2"/>
      <c r="N27" t="str">
        <f t="shared" si="0"/>
        <v>Katsina</v>
      </c>
      <c r="O27" s="11">
        <f t="shared" si="1"/>
        <v>0.50435269880408196</v>
      </c>
    </row>
    <row r="28" spans="3:20">
      <c r="K28" t="s">
        <v>35</v>
      </c>
      <c r="L28" s="2">
        <v>0.445862504902377</v>
      </c>
      <c r="M28" s="2"/>
      <c r="N28" t="str">
        <f t="shared" si="0"/>
        <v>Kebbi</v>
      </c>
      <c r="O28" s="11">
        <f t="shared" si="1"/>
        <v>0.445862504902377</v>
      </c>
    </row>
    <row r="29" spans="3:20">
      <c r="K29" t="s">
        <v>36</v>
      </c>
      <c r="L29" s="2">
        <v>0.337405186019194</v>
      </c>
      <c r="M29" s="2"/>
      <c r="N29" t="str">
        <f t="shared" si="0"/>
        <v>Kogi</v>
      </c>
      <c r="O29" s="11">
        <f t="shared" si="1"/>
        <v>0.337405186019194</v>
      </c>
      <c r="Q29" s="3" t="s">
        <v>0</v>
      </c>
      <c r="R29" t="s">
        <v>91</v>
      </c>
    </row>
    <row r="30" spans="3:20">
      <c r="K30" t="s">
        <v>37</v>
      </c>
      <c r="L30" s="2">
        <v>0.34685479297664901</v>
      </c>
      <c r="M30" s="2"/>
      <c r="N30" t="str">
        <f t="shared" si="0"/>
        <v>Kwara</v>
      </c>
      <c r="O30" s="11">
        <f t="shared" si="1"/>
        <v>0.34685479297664901</v>
      </c>
      <c r="Q30" t="s">
        <v>33</v>
      </c>
      <c r="R30" s="9">
        <v>1891134</v>
      </c>
    </row>
    <row r="31" spans="3:20">
      <c r="K31" t="s">
        <v>38</v>
      </c>
      <c r="L31" s="2">
        <v>0.183192954407115</v>
      </c>
      <c r="M31" s="2"/>
      <c r="N31" t="str">
        <f t="shared" si="0"/>
        <v>Lagos</v>
      </c>
      <c r="O31" s="11">
        <f t="shared" si="1"/>
        <v>0.183192954407115</v>
      </c>
      <c r="Q31" t="s">
        <v>32</v>
      </c>
      <c r="R31" s="9">
        <v>1663603</v>
      </c>
    </row>
    <row r="32" spans="3:20">
      <c r="K32" t="s">
        <v>39</v>
      </c>
      <c r="L32" s="2">
        <v>0.39708946319960298</v>
      </c>
      <c r="M32" s="2"/>
      <c r="N32" t="str">
        <f t="shared" si="0"/>
        <v>Nasarawa</v>
      </c>
      <c r="O32" s="11">
        <f t="shared" si="1"/>
        <v>0.39708946319960298</v>
      </c>
      <c r="Q32" t="s">
        <v>34</v>
      </c>
      <c r="R32" s="9">
        <v>1555473</v>
      </c>
    </row>
    <row r="33" spans="11:18">
      <c r="K33" t="s">
        <v>40</v>
      </c>
      <c r="L33" s="2">
        <v>0.37758380311571799</v>
      </c>
      <c r="M33" s="2"/>
      <c r="N33" t="str">
        <f t="shared" si="0"/>
        <v>Niger</v>
      </c>
      <c r="O33" s="11">
        <f t="shared" si="1"/>
        <v>0.37758380311571799</v>
      </c>
      <c r="Q33" t="s">
        <v>30</v>
      </c>
      <c r="R33" s="9">
        <v>1106244</v>
      </c>
    </row>
    <row r="34" spans="11:18">
      <c r="K34" t="s">
        <v>41</v>
      </c>
      <c r="L34" s="2">
        <v>0.25929281133405302</v>
      </c>
      <c r="M34" s="2"/>
      <c r="N34" t="str">
        <f t="shared" si="0"/>
        <v>Ogun</v>
      </c>
      <c r="O34" s="11">
        <f t="shared" si="1"/>
        <v>0.25929281133405302</v>
      </c>
      <c r="Q34" t="s">
        <v>38</v>
      </c>
      <c r="R34" s="9">
        <v>1089567</v>
      </c>
    </row>
    <row r="35" spans="11:18">
      <c r="K35" t="s">
        <v>42</v>
      </c>
      <c r="L35" s="2">
        <v>0.32375465293145</v>
      </c>
      <c r="M35" s="2"/>
      <c r="N35" t="str">
        <f t="shared" si="0"/>
        <v>Ondo</v>
      </c>
      <c r="O35" s="11">
        <f t="shared" si="1"/>
        <v>0.32375465293145</v>
      </c>
    </row>
    <row r="36" spans="11:18">
      <c r="K36" t="s">
        <v>43</v>
      </c>
      <c r="L36" s="2">
        <v>0.437015182754941</v>
      </c>
      <c r="M36" s="2"/>
      <c r="N36" t="str">
        <f t="shared" si="0"/>
        <v>Osun</v>
      </c>
      <c r="O36" s="11">
        <f t="shared" si="1"/>
        <v>0.437015182754941</v>
      </c>
    </row>
    <row r="37" spans="11:18">
      <c r="K37" t="s">
        <v>44</v>
      </c>
      <c r="L37" s="2">
        <v>0.31863637306359099</v>
      </c>
      <c r="M37" s="2"/>
      <c r="N37" t="str">
        <f t="shared" si="0"/>
        <v>Oyo</v>
      </c>
      <c r="O37" s="11">
        <f t="shared" si="1"/>
        <v>0.31863637306359099</v>
      </c>
    </row>
    <row r="38" spans="11:18">
      <c r="K38" t="s">
        <v>45</v>
      </c>
      <c r="L38" s="2">
        <v>0.43858642120244401</v>
      </c>
      <c r="M38" s="2"/>
      <c r="N38" t="str">
        <f t="shared" si="0"/>
        <v>Plateau</v>
      </c>
      <c r="O38" s="11">
        <f t="shared" si="1"/>
        <v>0.43858642120244401</v>
      </c>
    </row>
    <row r="39" spans="11:18">
      <c r="K39" t="s">
        <v>46</v>
      </c>
      <c r="L39" s="2">
        <v>0.20731832102592801</v>
      </c>
      <c r="M39" s="2"/>
      <c r="N39" t="str">
        <f t="shared" si="0"/>
        <v>Rivers</v>
      </c>
      <c r="O39" s="11">
        <f t="shared" si="1"/>
        <v>0.20731832102592801</v>
      </c>
    </row>
    <row r="40" spans="11:18">
      <c r="K40" t="s">
        <v>47</v>
      </c>
      <c r="L40" s="2">
        <v>0.48855411324848302</v>
      </c>
      <c r="M40" s="2"/>
      <c r="N40" t="str">
        <f t="shared" si="0"/>
        <v>Sokoto</v>
      </c>
      <c r="O40" s="11">
        <f t="shared" si="1"/>
        <v>0.48855411324848302</v>
      </c>
    </row>
    <row r="41" spans="11:18">
      <c r="K41" t="s">
        <v>48</v>
      </c>
      <c r="L41" s="2">
        <v>0.417287667301594</v>
      </c>
      <c r="M41" s="2"/>
      <c r="N41" t="str">
        <f t="shared" si="0"/>
        <v>Taraba</v>
      </c>
      <c r="O41" s="11">
        <f t="shared" si="1"/>
        <v>0.417287667301594</v>
      </c>
    </row>
    <row r="42" spans="11:18">
      <c r="K42" t="s">
        <v>49</v>
      </c>
      <c r="L42" s="2">
        <v>0.42911737423979401</v>
      </c>
      <c r="M42" s="2"/>
      <c r="N42" t="str">
        <f t="shared" si="0"/>
        <v>Yobe</v>
      </c>
      <c r="O42" s="11">
        <f t="shared" si="1"/>
        <v>0.42911737423979401</v>
      </c>
    </row>
    <row r="43" spans="11:18">
      <c r="K43" t="s">
        <v>50</v>
      </c>
      <c r="L43" s="2">
        <v>0.34780400762202901</v>
      </c>
      <c r="M43" s="2"/>
      <c r="N43" t="str">
        <f t="shared" si="0"/>
        <v>Zamfara</v>
      </c>
      <c r="O43" s="11">
        <f t="shared" si="1"/>
        <v>0.34780400762202901</v>
      </c>
    </row>
    <row r="44" spans="11:18">
      <c r="K44" t="s">
        <v>93</v>
      </c>
      <c r="L44" s="2">
        <v>0.33812953412508501</v>
      </c>
      <c r="M44" s="2"/>
      <c r="N44" t="str">
        <f t="shared" si="0"/>
        <v>Abuja</v>
      </c>
      <c r="O44" s="11">
        <f t="shared" si="1"/>
        <v>0.33812953412508501</v>
      </c>
    </row>
  </sheetData>
  <mergeCells count="5">
    <mergeCell ref="C5:D5"/>
    <mergeCell ref="Q17:R17"/>
    <mergeCell ref="C12:D12"/>
    <mergeCell ref="K5:L5"/>
    <mergeCell ref="E1:H2"/>
  </mergeCells>
  <pageMargins left="0.7" right="0.7" top="0.75" bottom="0.75" header="0.3" footer="0.3"/>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63491-082A-490A-831B-D431D3C0FBA7}">
  <dimension ref="A1"/>
  <sheetViews>
    <sheetView showGridLines="0" showRowColHeaders="0" tabSelected="1" topLeftCell="D3" zoomScale="95" zoomScaleNormal="95" workbookViewId="0">
      <selection activeCell="G7" sqref="G7"/>
    </sheetView>
  </sheetViews>
  <sheetFormatPr defaultRowHeight="17.399999999999999"/>
  <cols>
    <col min="1" max="16384" width="8.79687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368FA-C2B6-40FD-974C-07F90CD1DE6C}">
  <dimension ref="B3:E14"/>
  <sheetViews>
    <sheetView workbookViewId="0">
      <selection activeCell="J6" sqref="J6"/>
    </sheetView>
  </sheetViews>
  <sheetFormatPr defaultRowHeight="17.399999999999999"/>
  <cols>
    <col min="2" max="2" width="21.5" customWidth="1"/>
    <col min="3" max="3" width="19" customWidth="1"/>
    <col min="4" max="5" width="12.8984375" customWidth="1"/>
  </cols>
  <sheetData>
    <row r="3" spans="2:5">
      <c r="B3" s="4" t="s">
        <v>67</v>
      </c>
      <c r="C3" s="4" t="s">
        <v>69</v>
      </c>
      <c r="D3" s="4" t="s">
        <v>68</v>
      </c>
      <c r="E3" s="4"/>
    </row>
    <row r="4" spans="2:5" ht="34.799999999999997">
      <c r="B4" s="7" t="s">
        <v>70</v>
      </c>
      <c r="C4" s="5" t="s">
        <v>71</v>
      </c>
      <c r="D4" s="6" t="s">
        <v>72</v>
      </c>
      <c r="E4" s="6"/>
    </row>
    <row r="5" spans="2:5" ht="34.799999999999997">
      <c r="B5" s="7" t="s">
        <v>73</v>
      </c>
      <c r="C5" s="5" t="s">
        <v>74</v>
      </c>
      <c r="D5" s="6" t="s">
        <v>75</v>
      </c>
      <c r="E5" s="6"/>
    </row>
    <row r="6" spans="2:5" ht="34.799999999999997">
      <c r="B6" s="7" t="s">
        <v>76</v>
      </c>
      <c r="C6" s="5" t="s">
        <v>77</v>
      </c>
      <c r="D6" s="6" t="s">
        <v>78</v>
      </c>
      <c r="E6" s="6"/>
    </row>
    <row r="7" spans="2:5" ht="34.799999999999997">
      <c r="B7" s="7" t="s">
        <v>79</v>
      </c>
      <c r="C7" s="5" t="s">
        <v>80</v>
      </c>
      <c r="D7" s="6" t="s">
        <v>81</v>
      </c>
      <c r="E7" s="6"/>
    </row>
    <row r="8" spans="2:5" ht="34.799999999999997">
      <c r="B8" s="7" t="s">
        <v>82</v>
      </c>
      <c r="C8" s="5" t="s">
        <v>83</v>
      </c>
      <c r="D8" s="6" t="s">
        <v>84</v>
      </c>
      <c r="E8" s="6"/>
    </row>
    <row r="9" spans="2:5">
      <c r="B9" s="5"/>
      <c r="C9" s="5"/>
      <c r="D9" s="6"/>
      <c r="E9" s="6"/>
    </row>
    <row r="10" spans="2:5">
      <c r="B10" s="5"/>
      <c r="C10" s="5"/>
      <c r="D10" s="6"/>
      <c r="E10" s="6"/>
    </row>
    <row r="11" spans="2:5">
      <c r="B11" s="5"/>
      <c r="C11" s="5"/>
      <c r="D11" s="6"/>
      <c r="E11" s="6"/>
    </row>
    <row r="12" spans="2:5">
      <c r="B12" s="5"/>
      <c r="C12" s="5"/>
      <c r="D12" s="6"/>
      <c r="E12" s="6"/>
    </row>
    <row r="13" spans="2:5">
      <c r="B13" s="5"/>
      <c r="C13" s="5"/>
      <c r="D13" s="6"/>
      <c r="E13" s="6"/>
    </row>
    <row r="14" spans="2:5">
      <c r="B14" s="5"/>
      <c r="C14" s="5"/>
      <c r="D14" s="6"/>
      <c r="E14" s="6"/>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C510556-C813-4C4F-B97A-E1DB5A112C5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ANALYSIS</vt:lpstr>
      <vt:lpstr>NATIONAL OVERVIEW</vt:lpstr>
      <vt:lpstr>COLOR PALETTE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Abdulsamad Kudehinbu</dc:creator>
  <cp:lastModifiedBy>Abdulsamad Kudehinbu</cp:lastModifiedBy>
  <dcterms:created xsi:type="dcterms:W3CDTF">2025-07-16T14:25:00Z</dcterms:created>
  <dcterms:modified xsi:type="dcterms:W3CDTF">2025-07-17T17:24:56Z</dcterms:modified>
</cp:coreProperties>
</file>